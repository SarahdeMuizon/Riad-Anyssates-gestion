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</sheets>
  <definedNames>
    <definedName function="false" hidden="false" localSheetId="0" name="_xlnm.Print_Titles" vbProcedure="false">'P&amp;L'!$1:$2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<sst xmlns="http://schemas.openxmlformats.org/spreadsheetml/2006/main" count="46" uniqueCount="46">
  <si>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Profit &amp; Loss Statement  (€ thousands)</t>
  </si>
  <si>
    <t xml:space="preserve">2022A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</si>
  <si>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</si>
  <si>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</si>
  <si>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</si>
  <si>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</si>
  <si>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</si>
  <si>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REVENUE</t>
  </si>
  <si>
    <t xml:space="preserve">Product Revenue</t>
  </si>
  <si>
    <t xml:space="preserve">Services Revenue</t>
  </si>
  <si>
    <t xml:space="preserve">Other Revenue</t>
  </si>
  <si>
    <t xml:space="preserve">Total Revenue</t>
  </si>
  <si>
    <t xml:space="preserve">  YoY Growth</t>
  </si>
  <si>
    <t xml:space="preserve">-</t>
  </si>
  <si>
    <t xml:space="preserve">COST OF GOODS SOLD</t>
  </si>
  <si>
    <t xml:space="preserve">Cost of Product Revenue</t>
  </si>
  <si>
    <t xml:space="preserve">Cost of Services Revenue</t>
  </si>
  <si>
    <t xml:space="preserve">Total COGS</t>
  </si>
  <si>
    <t xml:space="preserve">  COGS % Revenue</t>
  </si>
  <si>
    <t xml:space="preserve">GROSS PROFIT</t>
  </si>
  <si>
    <t xml:space="preserve">  Gross Margin %</t>
  </si>
  <si>
    <t xml:space="preserve">OPERATING EXPENSES</t>
  </si>
  <si>
    <t xml:space="preserve">Sales &amp; Marketing</t>
  </si>
  <si>
    <t xml:space="preserve">General &amp; Administrative</t>
  </si>
  <si>
    <t xml:space="preserve">Research &amp; Development</t>
  </si>
  <si>
    <t xml:space="preserve">Depreciation &amp; Amortization</t>
  </si>
  <si>
    <t xml:space="preserve">Total OpEx</t>
  </si>
  <si>
    <t xml:space="preserve">  OpEx % Revenue</t>
  </si>
  <si>
    <t xml:space="preserve">EBITDA</t>
  </si>
  <si>
    <t xml:space="preserve">  EBITDA Margin %</t>
  </si>
  <si>
    <t xml:space="preserve">EBIT (Operating Income)</t>
  </si>
  <si>
    <t xml:space="preserve">  EBIT Margin %</t>
  </si>
  <si>
    <t xml:space="preserve">BELOW THE LINE</t>
  </si>
  <si>
    <t xml:space="preserve">Interest Income</t>
  </si>
  <si>
    <t xml:space="preserve">Interest Expense</t>
  </si>
  <si>
    <t xml:space="preserve">Other Income / (Expense)</t>
  </si>
  <si>
    <t xml:space="preserve">Net Financial Items</t>
  </si>
  <si>
    <t xml:space="preserve">EBT (Pre-Tax Income)</t>
  </si>
  <si>
    <t xml:space="preserve">INCOME TAX</t>
  </si>
  <si>
    <t xml:space="preserve">Effective Tax Rate</t>
  </si>
  <si>
    <t xml:space="preserve">Income Tax Expense</t>
  </si>
  <si>
    <t xml:space="preserve">NET INCOME</t>
  </si>
  <si>
    <t xml:space="preserve">  Net Margin %</t>
  </si>
  <si>
    <t xml:space="preserve">MEMO</t>
  </si>
  <si>
    <t xml:space="preserve">Headcount (FTE)</t>
  </si>
  <si>
    <t xml:space="preserve">Revenue per FTE (€k)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</si>
</sst>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F2F2F2"/>
      </patternFill>
    </fill>
    <fill>
      <patternFill patternType="solid">
        <fgColor rgb="FFD6E4F0"/>
        <bgColor rgb="FFEEF4FB"/>
      </patternFill>
    </fill>
    <fill>
      <patternFill patternType="solid">
        <fgColor rgb="FFF2F2F2"/>
        <bgColor rgb="FFEEF4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medium">
        <color rgb="FF1F3864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EF4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"/>
    <col collapsed="false" customWidth="true" hidden="false" outlineLevel="0" max="8" min="3" style="0" width="13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/>
      <c r="B2" s="2"/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3" t="s">
        <v>6</v>
      </c>
    </row>
    <row r="3" customFormat="false" ht="18" hidden="false" customHeight="true" outlineLevel="0" collapsed="false">
      <c r="A3" s="5" t="s">
        <v>7</v>
      </c>
      <c r="B3" s="6"/>
      <c r="C3" s="7"/>
      <c r="D3" s="7"/>
      <c r="E3" s="7"/>
      <c r="F3" s="7"/>
      <c r="G3" s="7"/>
      <c r="H3" s="7"/>
    </row>
    <row r="4" customFormat="false" ht="15.75" hidden="false" customHeight="true" outlineLevel="0" collapsed="false">
      <c r="A4" s="8" t="s">
        <v>8</v>
      </c>
      <c r="B4" s="9"/>
      <c r="C4" s="10" t="n">
        <v>12400</v>
      </c>
      <c r="D4" s="10" t="n">
        <v>14200</v>
      </c>
      <c r="E4" s="10" t="n">
        <v>16800</v>
      </c>
      <c r="F4" s="10" t="n">
        <v>19000</v>
      </c>
      <c r="G4" s="10" t="n">
        <v>21500</v>
      </c>
      <c r="H4" s="10" t="n">
        <v>24000</v>
      </c>
    </row>
    <row r="5" customFormat="false" ht="15.75" hidden="false" customHeight="true" outlineLevel="0" collapsed="false">
      <c r="A5" s="11" t="s">
        <v>9</v>
      </c>
      <c r="B5" s="12"/>
      <c r="C5" s="13" t="n">
        <v>3100</v>
      </c>
      <c r="D5" s="13" t="n">
        <v>3800</v>
      </c>
      <c r="E5" s="13" t="n">
        <v>4600</v>
      </c>
      <c r="F5" s="13" t="n">
        <v>5200</v>
      </c>
      <c r="G5" s="13" t="n">
        <v>5900</v>
      </c>
      <c r="H5" s="13" t="n">
        <v>6700</v>
      </c>
    </row>
    <row r="6" customFormat="false" ht="15.75" hidden="false" customHeight="true" outlineLevel="0" collapsed="false">
      <c r="A6" s="8" t="s">
        <v>10</v>
      </c>
      <c r="B6" s="9"/>
      <c r="C6" s="10" t="n">
        <v>500</v>
      </c>
      <c r="D6" s="10" t="n">
        <v>620</v>
      </c>
      <c r="E6" s="10" t="n">
        <v>740</v>
      </c>
      <c r="F6" s="10" t="n">
        <v>820</v>
      </c>
      <c r="G6" s="10" t="n">
        <v>900</v>
      </c>
      <c r="H6" s="10" t="n">
        <v>990</v>
      </c>
    </row>
    <row r="7" customFormat="false" ht="18" hidden="false" customHeight="true" outlineLevel="0" collapsed="false">
      <c r="A7" s="14" t="s">
        <v>11</v>
      </c>
      <c r="B7" s="15"/>
      <c r="C7" s="16" t="n">
        <f aca="false">SUM(C4:C6)</f>
        <v>16000</v>
      </c>
      <c r="D7" s="16" t="n">
        <f aca="false">SUM(D4:D6)</f>
        <v>18620</v>
      </c>
      <c r="E7" s="16" t="n">
        <f aca="false">SUM(E4:E6)</f>
        <v>22140</v>
      </c>
      <c r="F7" s="16" t="n">
        <f aca="false">SUM(F4:F6)</f>
        <v>25020</v>
      </c>
      <c r="G7" s="16" t="n">
        <f aca="false">SUM(G4:G6)</f>
        <v>28300</v>
      </c>
      <c r="H7" s="16" t="n">
        <f aca="false">SUM(H4:H6)</f>
        <v>31690</v>
      </c>
    </row>
    <row r="8" customFormat="false" ht="15" hidden="false" customHeight="true" outlineLevel="0" collapsed="false">
      <c r="A8" s="17" t="s">
        <v>12</v>
      </c>
      <c r="B8" s="9"/>
      <c r="C8" s="18" t="s">
        <v>13</v>
      </c>
      <c r="D8" s="18" t="n">
        <f aca="false">(D7-C7)/C7</f>
        <v>0.16375</v>
      </c>
      <c r="E8" s="18" t="n">
        <f aca="false">(E7-D7)/D7</f>
        <v>0.189044038668099</v>
      </c>
      <c r="F8" s="18" t="n">
        <f aca="false">(F7-E7)/E7</f>
        <v>0.130081300813008</v>
      </c>
      <c r="G8" s="18" t="n">
        <f aca="false">(G7-F7)/F7</f>
        <v>0.131095123900879</v>
      </c>
      <c r="H8" s="18" t="n">
        <f aca="false">(H7-G7)/G7</f>
        <v>0.119787985865724</v>
      </c>
    </row>
    <row r="9" customFormat="false" ht="6" hidden="false" customHeight="true" outlineLevel="0" collapsed="false">
      <c r="A9" s="19"/>
      <c r="B9" s="19"/>
      <c r="C9" s="19"/>
      <c r="D9" s="19"/>
      <c r="E9" s="19"/>
      <c r="F9" s="19"/>
      <c r="G9" s="19"/>
      <c r="H9" s="19"/>
    </row>
    <row r="10" customFormat="false" ht="18" hidden="false" customHeight="true" outlineLevel="0" collapsed="false">
      <c r="A10" s="5" t="s">
        <v>14</v>
      </c>
      <c r="B10" s="6"/>
      <c r="C10" s="7"/>
      <c r="D10" s="7"/>
      <c r="E10" s="7"/>
      <c r="F10" s="7"/>
      <c r="G10" s="7"/>
      <c r="H10" s="7"/>
    </row>
    <row r="11" customFormat="false" ht="15.75" hidden="false" customHeight="true" outlineLevel="0" collapsed="false">
      <c r="A11" s="8" t="s">
        <v>15</v>
      </c>
      <c r="B11" s="9"/>
      <c r="C11" s="10" t="n">
        <v>7440</v>
      </c>
      <c r="D11" s="10" t="n">
        <v>8378</v>
      </c>
      <c r="E11" s="10" t="n">
        <v>9744</v>
      </c>
      <c r="F11" s="10" t="n">
        <v>10830</v>
      </c>
      <c r="G11" s="10" t="n">
        <v>11825</v>
      </c>
      <c r="H11" s="10" t="n">
        <v>12960</v>
      </c>
    </row>
    <row r="12" customFormat="false" ht="15.75" hidden="false" customHeight="true" outlineLevel="0" collapsed="false">
      <c r="A12" s="11" t="s">
        <v>16</v>
      </c>
      <c r="B12" s="12"/>
      <c r="C12" s="13" t="n">
        <v>1240</v>
      </c>
      <c r="D12" s="13" t="n">
        <v>1520</v>
      </c>
      <c r="E12" s="13" t="n">
        <v>1840</v>
      </c>
      <c r="F12" s="13" t="n">
        <v>2080</v>
      </c>
      <c r="G12" s="13" t="n">
        <v>2360</v>
      </c>
      <c r="H12" s="13" t="n">
        <v>2680</v>
      </c>
    </row>
    <row r="13" customFormat="false" ht="18" hidden="false" customHeight="true" outlineLevel="0" collapsed="false">
      <c r="A13" s="14" t="s">
        <v>17</v>
      </c>
      <c r="B13" s="15"/>
      <c r="C13" s="16" t="n">
        <f aca="false">SUM(C11:C12)</f>
        <v>8680</v>
      </c>
      <c r="D13" s="16" t="n">
        <f aca="false">SUM(D11:D12)</f>
        <v>9898</v>
      </c>
      <c r="E13" s="16" t="n">
        <f aca="false">SUM(E11:E12)</f>
        <v>11584</v>
      </c>
      <c r="F13" s="16" t="n">
        <f aca="false">SUM(F11:F12)</f>
        <v>12910</v>
      </c>
      <c r="G13" s="16" t="n">
        <f aca="false">SUM(G11:G12)</f>
        <v>14185</v>
      </c>
      <c r="H13" s="16" t="n">
        <f aca="false">SUM(H11:H12)</f>
        <v>15640</v>
      </c>
    </row>
    <row r="14" customFormat="false" ht="15" hidden="false" customHeight="true" outlineLevel="0" collapsed="false">
      <c r="A14" s="17" t="s">
        <v>18</v>
      </c>
      <c r="B14" s="9"/>
      <c r="C14" s="18" t="n">
        <f aca="false">C13/C7</f>
        <v>0.5425</v>
      </c>
      <c r="D14" s="18" t="n">
        <f aca="false">D13/D7</f>
        <v>0.531578947368421</v>
      </c>
      <c r="E14" s="18" t="n">
        <f aca="false">E13/E7</f>
        <v>0.523215898825655</v>
      </c>
      <c r="F14" s="18" t="n">
        <f aca="false">F13/F7</f>
        <v>0.515987210231815</v>
      </c>
      <c r="G14" s="18" t="n">
        <f aca="false">G13/G7</f>
        <v>0.501236749116608</v>
      </c>
      <c r="H14" s="18" t="n">
        <f aca="false">H13/H7</f>
        <v>0.493531082360366</v>
      </c>
    </row>
    <row r="15" customFormat="false" ht="6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</row>
    <row r="16" customFormat="false" ht="18" hidden="false" customHeight="true" outlineLevel="0" collapsed="false">
      <c r="A16" s="14" t="s">
        <v>19</v>
      </c>
      <c r="B16" s="15"/>
      <c r="C16" s="16" t="n">
        <f aca="false">C7-C13</f>
        <v>7320</v>
      </c>
      <c r="D16" s="16" t="n">
        <f aca="false">D7-D13</f>
        <v>8722</v>
      </c>
      <c r="E16" s="16" t="n">
        <f aca="false">E7-E13</f>
        <v>10556</v>
      </c>
      <c r="F16" s="16" t="n">
        <f aca="false">F7-F13</f>
        <v>12110</v>
      </c>
      <c r="G16" s="16" t="n">
        <f aca="false">G7-G13</f>
        <v>14115</v>
      </c>
      <c r="H16" s="16" t="n">
        <f aca="false">H7-H13</f>
        <v>16050</v>
      </c>
    </row>
    <row r="17" customFormat="false" ht="15" hidden="false" customHeight="true" outlineLevel="0" collapsed="false">
      <c r="A17" s="17" t="s">
        <v>20</v>
      </c>
      <c r="B17" s="9"/>
      <c r="C17" s="18" t="n">
        <f aca="false">C16/C7</f>
        <v>0.4575</v>
      </c>
      <c r="D17" s="18" t="n">
        <f aca="false">D16/D7</f>
        <v>0.468421052631579</v>
      </c>
      <c r="E17" s="18" t="n">
        <f aca="false">E16/E7</f>
        <v>0.476784101174345</v>
      </c>
      <c r="F17" s="18" t="n">
        <f aca="false">F16/F7</f>
        <v>0.484012789768185</v>
      </c>
      <c r="G17" s="18" t="n">
        <f aca="false">G16/G7</f>
        <v>0.498763250883392</v>
      </c>
      <c r="H17" s="18" t="n">
        <f aca="false">H16/H7</f>
        <v>0.506468917639634</v>
      </c>
    </row>
    <row r="18" customFormat="false" ht="6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</row>
    <row r="19" customFormat="false" ht="18" hidden="false" customHeight="true" outlineLevel="0" collapsed="false">
      <c r="A19" s="5" t="s">
        <v>21</v>
      </c>
      <c r="B19" s="6"/>
      <c r="C19" s="7"/>
      <c r="D19" s="7"/>
      <c r="E19" s="7"/>
      <c r="F19" s="7"/>
      <c r="G19" s="7"/>
      <c r="H19" s="7"/>
    </row>
    <row r="20" customFormat="false" ht="15.75" hidden="false" customHeight="true" outlineLevel="0" collapsed="false">
      <c r="A20" s="8" t="s">
        <v>22</v>
      </c>
      <c r="B20" s="9"/>
      <c r="C20" s="10" t="n">
        <v>1860</v>
      </c>
      <c r="D20" s="10" t="n">
        <v>2130</v>
      </c>
      <c r="E20" s="10" t="n">
        <v>2520</v>
      </c>
      <c r="F20" s="10" t="n">
        <v>2850</v>
      </c>
      <c r="G20" s="10" t="n">
        <v>3225</v>
      </c>
      <c r="H20" s="10" t="n">
        <v>3600</v>
      </c>
    </row>
    <row r="21" customFormat="false" ht="15.75" hidden="false" customHeight="true" outlineLevel="0" collapsed="false">
      <c r="A21" s="11" t="s">
        <v>23</v>
      </c>
      <c r="B21" s="12"/>
      <c r="C21" s="13" t="n">
        <v>740</v>
      </c>
      <c r="D21" s="13" t="n">
        <v>852</v>
      </c>
      <c r="E21" s="13" t="n">
        <v>1008</v>
      </c>
      <c r="F21" s="13" t="n">
        <v>1140</v>
      </c>
      <c r="G21" s="13" t="n">
        <v>1290</v>
      </c>
      <c r="H21" s="13" t="n">
        <v>1440</v>
      </c>
    </row>
    <row r="22" customFormat="false" ht="15.75" hidden="false" customHeight="true" outlineLevel="0" collapsed="false">
      <c r="A22" s="8" t="s">
        <v>24</v>
      </c>
      <c r="B22" s="9"/>
      <c r="C22" s="10" t="n">
        <v>620</v>
      </c>
      <c r="D22" s="10" t="n">
        <v>710</v>
      </c>
      <c r="E22" s="10" t="n">
        <v>840</v>
      </c>
      <c r="F22" s="10" t="n">
        <v>950</v>
      </c>
      <c r="G22" s="10" t="n">
        <v>1075</v>
      </c>
      <c r="H22" s="10" t="n">
        <v>1200</v>
      </c>
    </row>
    <row r="23" customFormat="false" ht="15.75" hidden="false" customHeight="true" outlineLevel="0" collapsed="false">
      <c r="A23" s="11" t="s">
        <v>25</v>
      </c>
      <c r="B23" s="12"/>
      <c r="C23" s="13" t="n">
        <v>480</v>
      </c>
      <c r="D23" s="13" t="n">
        <v>550</v>
      </c>
      <c r="E23" s="13" t="n">
        <v>640</v>
      </c>
      <c r="F23" s="13" t="n">
        <v>700</v>
      </c>
      <c r="G23" s="13" t="n">
        <v>780</v>
      </c>
      <c r="H23" s="13" t="n">
        <v>860</v>
      </c>
    </row>
    <row r="24" customFormat="false" ht="18" hidden="false" customHeight="true" outlineLevel="0" collapsed="false">
      <c r="A24" s="14" t="s">
        <v>26</v>
      </c>
      <c r="B24" s="15"/>
      <c r="C24" s="16" t="n">
        <f aca="false">SUM(C20:C23)</f>
        <v>3700</v>
      </c>
      <c r="D24" s="16" t="n">
        <f aca="false">SUM(D20:D23)</f>
        <v>4242</v>
      </c>
      <c r="E24" s="16" t="n">
        <f aca="false">SUM(E20:E23)</f>
        <v>5008</v>
      </c>
      <c r="F24" s="16" t="n">
        <f aca="false">SUM(F20:F23)</f>
        <v>5640</v>
      </c>
      <c r="G24" s="16" t="n">
        <f aca="false">SUM(G20:G23)</f>
        <v>6370</v>
      </c>
      <c r="H24" s="16" t="n">
        <f aca="false">SUM(H20:H23)</f>
        <v>7100</v>
      </c>
    </row>
    <row r="25" customFormat="false" ht="15" hidden="false" customHeight="true" outlineLevel="0" collapsed="false">
      <c r="A25" s="17" t="s">
        <v>27</v>
      </c>
      <c r="B25" s="9"/>
      <c r="C25" s="18" t="n">
        <f aca="false">C24/C7</f>
        <v>0.23125</v>
      </c>
      <c r="D25" s="18" t="n">
        <f aca="false">D24/D7</f>
        <v>0.22781954887218</v>
      </c>
      <c r="E25" s="18" t="n">
        <f aca="false">E24/E7</f>
        <v>0.226196928635953</v>
      </c>
      <c r="F25" s="18" t="n">
        <f aca="false">F24/F7</f>
        <v>0.225419664268585</v>
      </c>
      <c r="G25" s="18" t="n">
        <f aca="false">G24/G7</f>
        <v>0.225088339222615</v>
      </c>
      <c r="H25" s="18" t="n">
        <f aca="false">H24/H7</f>
        <v>0.224045440201956</v>
      </c>
    </row>
    <row r="26" customFormat="false" ht="6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</row>
    <row r="27" customFormat="false" ht="18" hidden="false" customHeight="true" outlineLevel="0" collapsed="false">
      <c r="A27" s="14" t="s">
        <v>28</v>
      </c>
      <c r="B27" s="15"/>
      <c r="C27" s="16" t="n">
        <f aca="false">C16-(C20+C21+C22)</f>
        <v>4100</v>
      </c>
      <c r="D27" s="16" t="n">
        <f aca="false">D16-(D20+D21+D22)</f>
        <v>5030</v>
      </c>
      <c r="E27" s="16" t="n">
        <f aca="false">E16-(E20+E21+E22)</f>
        <v>6188</v>
      </c>
      <c r="F27" s="16" t="n">
        <f aca="false">F16-(F20+F21+F22)</f>
        <v>7170</v>
      </c>
      <c r="G27" s="16" t="n">
        <f aca="false">G16-(G20+G21+G22)</f>
        <v>8525</v>
      </c>
      <c r="H27" s="16" t="n">
        <f aca="false">H16-(H20+H21+H22)</f>
        <v>9810</v>
      </c>
    </row>
    <row r="28" customFormat="false" ht="15" hidden="false" customHeight="true" outlineLevel="0" collapsed="false">
      <c r="A28" s="17" t="s">
        <v>29</v>
      </c>
      <c r="B28" s="9"/>
      <c r="C28" s="18" t="n">
        <f aca="false">C27/C7</f>
        <v>0.25625</v>
      </c>
      <c r="D28" s="18" t="n">
        <f aca="false">D27/D7</f>
        <v>0.270139634801289</v>
      </c>
      <c r="E28" s="18" t="n">
        <f aca="false">E27/E7</f>
        <v>0.279494128274616</v>
      </c>
      <c r="F28" s="18" t="n">
        <f aca="false">F27/F7</f>
        <v>0.286570743405276</v>
      </c>
      <c r="G28" s="18" t="n">
        <f aca="false">G27/G7</f>
        <v>0.301236749116608</v>
      </c>
      <c r="H28" s="18" t="n">
        <f aca="false">H27/H7</f>
        <v>0.309561375828337</v>
      </c>
    </row>
    <row r="29" customFormat="false" ht="6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</row>
    <row r="30" customFormat="false" ht="18" hidden="false" customHeight="true" outlineLevel="0" collapsed="false">
      <c r="A30" s="14" t="s">
        <v>30</v>
      </c>
      <c r="B30" s="15"/>
      <c r="C30" s="16" t="n">
        <f aca="false">C27-C23</f>
        <v>3620</v>
      </c>
      <c r="D30" s="16" t="n">
        <f aca="false">D27-D23</f>
        <v>4480</v>
      </c>
      <c r="E30" s="16" t="n">
        <f aca="false">E27-E23</f>
        <v>5548</v>
      </c>
      <c r="F30" s="16" t="n">
        <f aca="false">F27-F23</f>
        <v>6470</v>
      </c>
      <c r="G30" s="16" t="n">
        <f aca="false">G27-G23</f>
        <v>7745</v>
      </c>
      <c r="H30" s="16" t="n">
        <f aca="false">H27-H23</f>
        <v>8950</v>
      </c>
    </row>
    <row r="31" customFormat="false" ht="15" hidden="false" customHeight="true" outlineLevel="0" collapsed="false">
      <c r="A31" s="17" t="s">
        <v>31</v>
      </c>
      <c r="B31" s="9"/>
      <c r="C31" s="18" t="n">
        <f aca="false">C30/C7</f>
        <v>0.22625</v>
      </c>
      <c r="D31" s="18" t="n">
        <f aca="false">D30/D7</f>
        <v>0.240601503759398</v>
      </c>
      <c r="E31" s="18" t="n">
        <f aca="false">E30/E7</f>
        <v>0.250587172538392</v>
      </c>
      <c r="F31" s="18" t="n">
        <f aca="false">F30/F7</f>
        <v>0.2585931254996</v>
      </c>
      <c r="G31" s="18" t="n">
        <f aca="false">G30/G7</f>
        <v>0.273674911660777</v>
      </c>
      <c r="H31" s="18" t="n">
        <f aca="false">H30/H7</f>
        <v>0.282423477437678</v>
      </c>
    </row>
    <row r="32" customFormat="false" ht="6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</row>
    <row r="33" customFormat="false" ht="18" hidden="false" customHeight="true" outlineLevel="0" collapsed="false">
      <c r="A33" s="5" t="s">
        <v>32</v>
      </c>
      <c r="B33" s="6"/>
      <c r="C33" s="7"/>
      <c r="D33" s="7"/>
      <c r="E33" s="7"/>
      <c r="F33" s="7"/>
      <c r="G33" s="7"/>
      <c r="H33" s="7"/>
    </row>
    <row r="34" customFormat="false" ht="15.75" hidden="false" customHeight="true" outlineLevel="0" collapsed="false">
      <c r="A34" s="8" t="s">
        <v>33</v>
      </c>
      <c r="B34" s="9"/>
      <c r="C34" s="10" t="n">
        <v>120</v>
      </c>
      <c r="D34" s="10" t="n">
        <v>145</v>
      </c>
      <c r="E34" s="10" t="n">
        <v>160</v>
      </c>
      <c r="F34" s="10" t="n">
        <v>175</v>
      </c>
      <c r="G34" s="10" t="n">
        <v>190</v>
      </c>
      <c r="H34" s="10" t="n">
        <v>210</v>
      </c>
    </row>
    <row r="35" customFormat="false" ht="15.75" hidden="false" customHeight="true" outlineLevel="0" collapsed="false">
      <c r="A35" s="11" t="s">
        <v>34</v>
      </c>
      <c r="B35" s="12"/>
      <c r="C35" s="13" t="n">
        <v>-280</v>
      </c>
      <c r="D35" s="13" t="n">
        <v>-310</v>
      </c>
      <c r="E35" s="13" t="n">
        <v>-330</v>
      </c>
      <c r="F35" s="13" t="n">
        <v>-350</v>
      </c>
      <c r="G35" s="13" t="n">
        <v>-380</v>
      </c>
      <c r="H35" s="13" t="n">
        <v>-420</v>
      </c>
    </row>
    <row r="36" customFormat="false" ht="15.75" hidden="false" customHeight="true" outlineLevel="0" collapsed="false">
      <c r="A36" s="8" t="s">
        <v>35</v>
      </c>
      <c r="B36" s="9"/>
      <c r="C36" s="10" t="n">
        <v>0</v>
      </c>
      <c r="D36" s="10" t="n">
        <v>0</v>
      </c>
      <c r="E36" s="10" t="n">
        <v>50</v>
      </c>
      <c r="F36" s="10" t="n">
        <v>0</v>
      </c>
      <c r="G36" s="10" t="n">
        <v>0</v>
      </c>
      <c r="H36" s="10" t="n">
        <v>0</v>
      </c>
    </row>
    <row r="37" customFormat="false" ht="18" hidden="false" customHeight="true" outlineLevel="0" collapsed="false">
      <c r="A37" s="14" t="s">
        <v>36</v>
      </c>
      <c r="B37" s="15"/>
      <c r="C37" s="16" t="n">
        <f aca="false">SUM(C34:C36)</f>
        <v>-160</v>
      </c>
      <c r="D37" s="16" t="n">
        <f aca="false">SUM(D34:D36)</f>
        <v>-165</v>
      </c>
      <c r="E37" s="16" t="n">
        <f aca="false">SUM(E34:E36)</f>
        <v>-120</v>
      </c>
      <c r="F37" s="16" t="n">
        <f aca="false">SUM(F34:F36)</f>
        <v>-175</v>
      </c>
      <c r="G37" s="16" t="n">
        <f aca="false">SUM(G34:G36)</f>
        <v>-190</v>
      </c>
      <c r="H37" s="16" t="n">
        <f aca="false">SUM(H34:H36)</f>
        <v>-210</v>
      </c>
    </row>
    <row r="38" customFormat="false" ht="6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</row>
    <row r="39" customFormat="false" ht="18" hidden="false" customHeight="true" outlineLevel="0" collapsed="false">
      <c r="A39" s="14" t="s">
        <v>37</v>
      </c>
      <c r="B39" s="15"/>
      <c r="C39" s="16" t="n">
        <f aca="false">C30+C37</f>
        <v>3460</v>
      </c>
      <c r="D39" s="16" t="n">
        <f aca="false">D30+D37</f>
        <v>4315</v>
      </c>
      <c r="E39" s="16" t="n">
        <f aca="false">E30+E37</f>
        <v>5428</v>
      </c>
      <c r="F39" s="16" t="n">
        <f aca="false">F30+F37</f>
        <v>6295</v>
      </c>
      <c r="G39" s="16" t="n">
        <f aca="false">G30+G37</f>
        <v>7555</v>
      </c>
      <c r="H39" s="16" t="n">
        <f aca="false">H30+H37</f>
        <v>8740</v>
      </c>
    </row>
    <row r="40" customFormat="false" ht="18" hidden="false" customHeight="true" outlineLevel="0" collapsed="false">
      <c r="A40" s="5" t="s">
        <v>38</v>
      </c>
      <c r="B40" s="6"/>
      <c r="C40" s="7"/>
      <c r="D40" s="7"/>
      <c r="E40" s="7"/>
      <c r="F40" s="7"/>
      <c r="G40" s="7"/>
      <c r="H40" s="7"/>
    </row>
    <row r="41" customFormat="false" ht="15.75" hidden="false" customHeight="true" outlineLevel="0" collapsed="false">
      <c r="A41" s="8" t="s">
        <v>39</v>
      </c>
      <c r="B41" s="9"/>
      <c r="C41" s="20" t="n">
        <v>0.25</v>
      </c>
      <c r="D41" s="20" t="n">
        <v>0.25</v>
      </c>
      <c r="E41" s="20" t="n">
        <v>0.25</v>
      </c>
      <c r="F41" s="20" t="n">
        <v>0.25</v>
      </c>
      <c r="G41" s="20" t="n">
        <v>0.25</v>
      </c>
      <c r="H41" s="20" t="n">
        <v>0.25</v>
      </c>
    </row>
    <row r="42" customFormat="false" ht="15.75" hidden="false" customHeight="true" outlineLevel="0" collapsed="false">
      <c r="A42" s="21" t="s">
        <v>40</v>
      </c>
      <c r="B42" s="12"/>
      <c r="C42" s="22" t="n">
        <f aca="false">-C39*C41</f>
        <v>-865</v>
      </c>
      <c r="D42" s="22" t="n">
        <f aca="false">-D39*D41</f>
        <v>-1078.75</v>
      </c>
      <c r="E42" s="22" t="n">
        <f aca="false">-E39*E41</f>
        <v>-1357</v>
      </c>
      <c r="F42" s="22" t="n">
        <f aca="false">-F39*F41</f>
        <v>-1573.75</v>
      </c>
      <c r="G42" s="22" t="n">
        <f aca="false">-G39*G41</f>
        <v>-1888.75</v>
      </c>
      <c r="H42" s="22" t="n">
        <f aca="false">-H39*H41</f>
        <v>-2185</v>
      </c>
    </row>
    <row r="43" customFormat="false" ht="6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</row>
    <row r="44" customFormat="false" ht="18" hidden="false" customHeight="true" outlineLevel="0" collapsed="false">
      <c r="A44" s="14" t="s">
        <v>41</v>
      </c>
      <c r="B44" s="15"/>
      <c r="C44" s="16" t="n">
        <f aca="false">C39+C42</f>
        <v>2595</v>
      </c>
      <c r="D44" s="16" t="n">
        <f aca="false">D39+D42</f>
        <v>3236.25</v>
      </c>
      <c r="E44" s="16" t="n">
        <f aca="false">E39+E42</f>
        <v>4071</v>
      </c>
      <c r="F44" s="16" t="n">
        <f aca="false">F39+F42</f>
        <v>4721.25</v>
      </c>
      <c r="G44" s="16" t="n">
        <f aca="false">G39+G42</f>
        <v>5666.25</v>
      </c>
      <c r="H44" s="16" t="n">
        <f aca="false">H39+H42</f>
        <v>6555</v>
      </c>
    </row>
    <row r="45" customFormat="false" ht="15" hidden="false" customHeight="true" outlineLevel="0" collapsed="false">
      <c r="A45" s="17" t="s">
        <v>42</v>
      </c>
      <c r="B45" s="9"/>
      <c r="C45" s="18" t="n">
        <f aca="false">C44/C7</f>
        <v>0.1621875</v>
      </c>
      <c r="D45" s="18" t="n">
        <f aca="false">D44/D7</f>
        <v>0.173805048335124</v>
      </c>
      <c r="E45" s="18" t="n">
        <f aca="false">E44/E7</f>
        <v>0.183875338753388</v>
      </c>
      <c r="F45" s="18" t="n">
        <f aca="false">F44/F7</f>
        <v>0.188699040767386</v>
      </c>
      <c r="G45" s="18" t="n">
        <f aca="false">G44/G7</f>
        <v>0.200220848056537</v>
      </c>
      <c r="H45" s="18" t="n">
        <f aca="false">H44/H7</f>
        <v>0.206847585989271</v>
      </c>
    </row>
    <row r="46" customFormat="false" ht="6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</row>
    <row r="47" customFormat="false" ht="18" hidden="false" customHeight="true" outlineLevel="0" collapsed="false">
      <c r="A47" s="5" t="s">
        <v>43</v>
      </c>
      <c r="B47" s="6"/>
      <c r="C47" s="7"/>
      <c r="D47" s="7"/>
      <c r="E47" s="7"/>
      <c r="F47" s="7"/>
      <c r="G47" s="7"/>
      <c r="H47" s="7"/>
    </row>
    <row r="48" customFormat="false" ht="15.75" hidden="false" customHeight="true" outlineLevel="0" collapsed="false">
      <c r="A48" s="8" t="s">
        <v>44</v>
      </c>
      <c r="B48" s="9"/>
      <c r="C48" s="10" t="n">
        <v>85</v>
      </c>
      <c r="D48" s="10" t="n">
        <v>98</v>
      </c>
      <c r="E48" s="10" t="n">
        <v>112</v>
      </c>
      <c r="F48" s="10" t="n">
        <v>125</v>
      </c>
      <c r="G48" s="10" t="n">
        <v>140</v>
      </c>
      <c r="H48" s="10" t="n">
        <v>155</v>
      </c>
    </row>
    <row r="49" customFormat="false" ht="15.75" hidden="false" customHeight="true" outlineLevel="0" collapsed="false">
      <c r="A49" s="21" t="s">
        <v>45</v>
      </c>
      <c r="B49" s="12"/>
      <c r="C49" s="22" t="n">
        <f aca="false">C7/C48</f>
        <v>188.235294117647</v>
      </c>
      <c r="D49" s="22" t="n">
        <f aca="false">D7/D48</f>
        <v>190</v>
      </c>
      <c r="E49" s="22" t="n">
        <f aca="false">E7/E48</f>
        <v>197.678571428571</v>
      </c>
      <c r="F49" s="22" t="n">
        <f aca="false">F7/F48</f>
        <v>200.16</v>
      </c>
      <c r="G49" s="22" t="n">
        <f aca="false">G7/G48</f>
        <v>202.142857142857</v>
      </c>
      <c r="H49" s="22" t="n">
        <f aca="false">H7/H48</f>
        <v>204.451612903226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2026-06-24T13:37:44Z</dcterms:created>
  <dc:creator>openpyxl</dc:creator>
  <dc:description/>
  <dc:language>en-US</dc:language>
  <cp:lastModifiedBy/>
  <dcterms:modified xsi:type="dcterms:W3CDTF">2026-06-24T13:37:44Z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