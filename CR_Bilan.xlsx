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te de Résultat" sheetId="1" state="visible" r:id="rId3"/>
    <sheet name="Bi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<sst xmlns="http://schemas.openxmlformats.org/spreadsheetml/2006/main" count="88" uniqueCount="81">
  <si>
    <t xml:space="preserve">Compte de Résultat  (k€)</t>
  </si>
  <si>
    <t xml:space="preserve">2022A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</si>
  <si>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</si>
  <si>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</si>
  <si>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</si>
  <si>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</si>
  <si>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</si>
  <si>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CHIFFRE D'AFFAIRES</t>
  </si>
  <si>
    <t xml:space="preserve">CA Produits</t>
  </si>
  <si>
    <t xml:space="preserve">CA Services</t>
  </si>
  <si>
    <t xml:space="preserve">Autres produits</t>
  </si>
  <si>
    <t xml:space="preserve">Chiffre d'Affaires Total</t>
  </si>
  <si>
    <t xml:space="preserve">  Croissance YoY</t>
  </si>
  <si>
    <t xml:space="preserve">-</t>
  </si>
  <si>
    <t xml:space="preserve">COÛT DES VENTES</t>
  </si>
  <si>
    <t xml:space="preserve">Achats consommés</t>
  </si>
  <si>
    <t xml:space="preserve">Charges directes services</t>
  </si>
  <si>
    <t xml:space="preserve">Total Coût des Ventes</t>
  </si>
  <si>
    <t xml:space="preserve">  % du CA</t>
  </si>
  <si>
    <t xml:space="preserve">MARGE BRUTE</t>
  </si>
  <si>
    <t xml:space="preserve">  Taux de Marge Brute</t>
  </si>
  <si>
    <t xml:space="preserve">CHARGES D'EXPLOITATION</t>
  </si>
  <si>
    <t xml:space="preserve">Frais commerciaux &amp; marketing</t>
  </si>
  <si>
    <t xml:space="preserve">Frais généraux &amp; administratifs</t>
  </si>
  <si>
    <t xml:space="preserve">Recherche &amp; développement</t>
  </si>
  <si>
    <t xml:space="preserve">Dotations aux amortissements</t>
  </si>
  <si>
    <t xml:space="preserve">Total Charges d'Exploitation</t>
  </si>
  <si>
    <t xml:space="preserve">EBITDA</t>
  </si>
  <si>
    <t xml:space="preserve">  Marge EBITDA</t>
  </si>
  <si>
    <t xml:space="preserve">RÉSULTAT D'EXPLOITATION (EBIT)</t>
  </si>
  <si>
    <t xml:space="preserve">  Marge opérationnelle</t>
  </si>
  <si>
    <t xml:space="preserve">RÉSULTAT FINANCIER</t>
  </si>
  <si>
    <t xml:space="preserve">Produits financiers</t>
  </si>
  <si>
    <t xml:space="preserve">Charges financières</t>
  </si>
  <si>
    <t xml:space="preserve">Autres éléments financiers</t>
  </si>
  <si>
    <t xml:space="preserve">Résultat Financier Net</t>
  </si>
  <si>
    <t xml:space="preserve">RÉSULTAT AVANT IMPÔT (EBT)</t>
  </si>
  <si>
    <t xml:space="preserve">IMPÔTS SUR LES BÉNÉFICES</t>
  </si>
  <si>
    <t xml:space="preserve">Taux effectif d'imposition</t>
  </si>
  <si>
    <t xml:space="preserve">Impôt sur les sociétés</t>
  </si>
  <si>
    <t xml:space="preserve">RÉSULTAT NET</t>
  </si>
  <si>
    <t xml:space="preserve">  Marge nette</t>
  </si>
  <si>
    <t xml:space="preserve">MÉMO</t>
  </si>
  <si>
    <t xml:space="preserve">Effectif (ETP)</t>
  </si>
  <si>
    <t xml:space="preserve">CA par ETP (k€)</t>
  </si>
  <si>
    <t xml:space="preserve">Bilan  (k€)</t>
  </si>
  <si>
    <t xml:space="preserve">ACTIF IMMOBILISÉ</t>
  </si>
  <si>
    <t xml:space="preserve">Immobilisations incorporelles (net)</t>
  </si>
  <si>
    <t xml:space="preserve">Immobilisations corporelles (net)</t>
  </si>
  <si>
    <t xml:space="preserve">Immobilisations financières</t>
  </si>
  <si>
    <t xml:space="preserve">Total Actif Immobilisé</t>
  </si>
  <si>
    <t xml:space="preserve">ACTIF CIRCULANT</t>
  </si>
  <si>
    <t xml:space="preserve">Stocks</t>
  </si>
  <si>
    <t xml:space="preserve">Créances clients</t>
  </si>
  <si>
    <t xml:space="preserve">Autres créances &amp; charges constatées</t>
  </si>
  <si>
    <t xml:space="preserve">Trésorerie &amp; équivalents</t>
  </si>
  <si>
    <t xml:space="preserve">Total Actif Circulant</t>
  </si>
  <si>
    <t xml:space="preserve">TOTAL ACTIF</t>
  </si>
  <si>
    <t xml:space="preserve">CAPITAUX PROPRES</t>
  </si>
  <si>
    <t xml:space="preserve">Capital social</t>
  </si>
  <si>
    <t xml:space="preserve">Réserves et report à nouveau</t>
  </si>
  <si>
    <t xml:space="preserve">Résultat de l'exercice</t>
  </si>
  <si>
    <t xml:space="preserve">Total Capitaux Propres</t>
  </si>
  <si>
    <t xml:space="preserve">DETTES FINANCIÈRES</t>
  </si>
  <si>
    <t xml:space="preserve">Emprunts &amp; dettes auprès des établissements de crédit</t>
  </si>
  <si>
    <t xml:space="preserve">Dettes financières à long terme</t>
  </si>
  <si>
    <t xml:space="preserve">Total Dettes Financières</t>
  </si>
  <si>
    <t xml:space="preserve">DETTES D'EXPLOITATION</t>
  </si>
  <si>
    <t xml:space="preserve">Dettes fournisseurs</t>
  </si>
  <si>
    <t xml:space="preserve">Dettes fiscales &amp; sociales</t>
  </si>
  <si>
    <t xml:space="preserve">Autres dettes &amp; produits constatés</t>
  </si>
  <si>
    <t xml:space="preserve">Total Dettes d'Exploitation</t>
  </si>
  <si>
    <t xml:space="preserve">TOTAL PASSIF</t>
  </si>
  <si>
    <t xml:space="preserve">VÉRIFICATION</t>
  </si>
  <si>
    <t xml:space="preserve">Actif − Passif  (doit être = 0)</t>
  </si>
  <si>
    <t xml:space="preserve">RATIOS CLÉS</t>
  </si>
  <si>
    <t xml:space="preserve">Dette nette</t>
  </si>
  <si>
    <t xml:space="preserve">Gearing (Dette nette / CP)</t>
  </si>
  <si>
    <t xml:space="preserve">BFR (Stocks + Clients − Fournisseurs)</t>
  </si>
  <si>
    <t xml:space="preserve">Ratio de liquidité générale (AC / DE)</t>
  </si>
  <si>
    <t xml:space="preserve">Autonomie financière (CP / TA)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</si>
</sst>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5C3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F2F2F2"/>
      </patternFill>
    </fill>
    <fill>
      <patternFill patternType="solid">
        <fgColor rgb="FFD6E4F0"/>
        <bgColor rgb="FFD4EDDA"/>
      </patternFill>
    </fill>
    <fill>
      <patternFill patternType="solid">
        <fgColor rgb="FFF2F2F2"/>
        <bgColor rgb="FFEEF4FB"/>
      </patternFill>
    </fill>
    <fill>
      <patternFill patternType="solid">
        <fgColor rgb="FF1A5C38"/>
        <bgColor rgb="FF1F3864"/>
      </patternFill>
    </fill>
    <fill>
      <patternFill patternType="solid">
        <fgColor rgb="FF2E8B57"/>
        <bgColor rgb="FF008080"/>
      </patternFill>
    </fill>
    <fill>
      <patternFill patternType="solid">
        <fgColor rgb="FFEAF5EF"/>
        <bgColor rgb="FFEEF4FB"/>
      </patternFill>
    </fill>
    <fill>
      <patternFill patternType="solid">
        <fgColor rgb="FFD4EDDA"/>
        <bgColor rgb="FFD6E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medium">
        <color rgb="FF1F3864"/>
      </bottom>
      <diagonal/>
    </border>
    <border diagonalUp="false" diagonalDown="false">
      <left style="medium">
        <color rgb="FF1A5C38"/>
      </left>
      <right style="medium">
        <color rgb="FF1A5C38"/>
      </right>
      <top style="medium">
        <color rgb="FF1A5C38"/>
      </top>
      <bottom style="medium">
        <color rgb="FF1A5C3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AF5E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D4ED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2E8B57"/>
      <rgbColor rgb="FF003300"/>
      <rgbColor rgb="FF333300"/>
      <rgbColor rgb="FF993300"/>
      <rgbColor rgb="FF993366"/>
      <rgbColor rgb="FF333399"/>
      <rgbColor rgb="FF1A5C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"/>
    <col collapsed="false" customWidth="true" hidden="false" outlineLevel="0" max="8" min="3" style="0" width="1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customFormat="false" ht="18" hidden="false" customHeight="true" outlineLevel="0" collapsed="false">
      <c r="A3" s="4" t="s">
        <v>7</v>
      </c>
      <c r="B3" s="5"/>
      <c r="C3" s="5"/>
      <c r="D3" s="5"/>
      <c r="E3" s="5"/>
      <c r="F3" s="5"/>
      <c r="G3" s="5"/>
      <c r="H3" s="5"/>
    </row>
    <row r="4" customFormat="false" ht="15.75" hidden="false" customHeight="true" outlineLevel="0" collapsed="false">
      <c r="A4" s="6" t="s">
        <v>8</v>
      </c>
      <c r="B4" s="7"/>
      <c r="C4" s="8" t="n">
        <v>12400</v>
      </c>
      <c r="D4" s="8" t="n">
        <v>14200</v>
      </c>
      <c r="E4" s="8" t="n">
        <v>16800</v>
      </c>
      <c r="F4" s="8" t="n">
        <v>19000</v>
      </c>
      <c r="G4" s="8" t="n">
        <v>21500</v>
      </c>
      <c r="H4" s="8" t="n">
        <v>24000</v>
      </c>
    </row>
    <row r="5" customFormat="false" ht="15.75" hidden="false" customHeight="true" outlineLevel="0" collapsed="false">
      <c r="A5" s="9" t="s">
        <v>9</v>
      </c>
      <c r="B5" s="10"/>
      <c r="C5" s="11" t="n">
        <v>3100</v>
      </c>
      <c r="D5" s="11" t="n">
        <v>3800</v>
      </c>
      <c r="E5" s="11" t="n">
        <v>4600</v>
      </c>
      <c r="F5" s="11" t="n">
        <v>5200</v>
      </c>
      <c r="G5" s="11" t="n">
        <v>5900</v>
      </c>
      <c r="H5" s="11" t="n">
        <v>6700</v>
      </c>
    </row>
    <row r="6" customFormat="false" ht="15.75" hidden="false" customHeight="true" outlineLevel="0" collapsed="false">
      <c r="A6" s="6" t="s">
        <v>10</v>
      </c>
      <c r="B6" s="7"/>
      <c r="C6" s="8" t="n">
        <v>500</v>
      </c>
      <c r="D6" s="8" t="n">
        <v>620</v>
      </c>
      <c r="E6" s="8" t="n">
        <v>740</v>
      </c>
      <c r="F6" s="8" t="n">
        <v>820</v>
      </c>
      <c r="G6" s="8" t="n">
        <v>900</v>
      </c>
      <c r="H6" s="8" t="n">
        <v>990</v>
      </c>
    </row>
    <row r="7" customFormat="false" ht="18" hidden="false" customHeight="true" outlineLevel="0" collapsed="false">
      <c r="A7" s="12" t="s">
        <v>11</v>
      </c>
      <c r="B7" s="13"/>
      <c r="C7" s="14" t="n">
        <f aca="false">SUM(C4:C6)</f>
        <v>16000</v>
      </c>
      <c r="D7" s="14" t="n">
        <f aca="false">SUM(D4:D6)</f>
        <v>18620</v>
      </c>
      <c r="E7" s="14" t="n">
        <f aca="false">SUM(E4:E6)</f>
        <v>22140</v>
      </c>
      <c r="F7" s="14" t="n">
        <f aca="false">SUM(F4:F6)</f>
        <v>25020</v>
      </c>
      <c r="G7" s="14" t="n">
        <f aca="false">SUM(G4:G6)</f>
        <v>28300</v>
      </c>
      <c r="H7" s="14" t="n">
        <f aca="false">SUM(H4:H6)</f>
        <v>31690</v>
      </c>
    </row>
    <row r="8" customFormat="false" ht="15" hidden="false" customHeight="true" outlineLevel="0" collapsed="false">
      <c r="A8" s="15" t="s">
        <v>12</v>
      </c>
      <c r="B8" s="7"/>
      <c r="C8" s="16" t="s">
        <v>13</v>
      </c>
      <c r="D8" s="17" t="n">
        <f aca="false">(D7-C7)/C7</f>
        <v>0.16375</v>
      </c>
      <c r="E8" s="17" t="n">
        <f aca="false">(E7-D7)/D7</f>
        <v>0.189044038668099</v>
      </c>
      <c r="F8" s="17" t="n">
        <f aca="false">(F7-E7)/E7</f>
        <v>0.130081300813008</v>
      </c>
      <c r="G8" s="17" t="n">
        <f aca="false">(G7-F7)/F7</f>
        <v>0.131095123900879</v>
      </c>
      <c r="H8" s="17" t="n">
        <f aca="false">(H7-G7)/G7</f>
        <v>0.119787985865724</v>
      </c>
    </row>
    <row r="9" customFormat="false" ht="6" hidden="false" customHeight="true" outlineLevel="0" collapsed="false">
      <c r="A9" s="18"/>
      <c r="B9" s="18"/>
      <c r="C9" s="18"/>
      <c r="D9" s="18"/>
      <c r="E9" s="18"/>
      <c r="F9" s="18"/>
      <c r="G9" s="18"/>
      <c r="H9" s="18"/>
    </row>
    <row r="10" customFormat="false" ht="18" hidden="false" customHeight="true" outlineLevel="0" collapsed="false">
      <c r="A10" s="4" t="s">
        <v>14</v>
      </c>
      <c r="B10" s="5"/>
      <c r="C10" s="5"/>
      <c r="D10" s="5"/>
      <c r="E10" s="5"/>
      <c r="F10" s="5"/>
      <c r="G10" s="5"/>
      <c r="H10" s="5"/>
    </row>
    <row r="11" customFormat="false" ht="15.75" hidden="false" customHeight="true" outlineLevel="0" collapsed="false">
      <c r="A11" s="6" t="s">
        <v>15</v>
      </c>
      <c r="B11" s="7"/>
      <c r="C11" s="8" t="n">
        <v>7440</v>
      </c>
      <c r="D11" s="8" t="n">
        <v>8378</v>
      </c>
      <c r="E11" s="8" t="n">
        <v>9744</v>
      </c>
      <c r="F11" s="8" t="n">
        <v>10830</v>
      </c>
      <c r="G11" s="8" t="n">
        <v>11825</v>
      </c>
      <c r="H11" s="8" t="n">
        <v>12960</v>
      </c>
    </row>
    <row r="12" customFormat="false" ht="15.75" hidden="false" customHeight="true" outlineLevel="0" collapsed="false">
      <c r="A12" s="9" t="s">
        <v>16</v>
      </c>
      <c r="B12" s="10"/>
      <c r="C12" s="11" t="n">
        <v>1240</v>
      </c>
      <c r="D12" s="11" t="n">
        <v>1520</v>
      </c>
      <c r="E12" s="11" t="n">
        <v>1840</v>
      </c>
      <c r="F12" s="11" t="n">
        <v>2080</v>
      </c>
      <c r="G12" s="11" t="n">
        <v>2360</v>
      </c>
      <c r="H12" s="11" t="n">
        <v>2680</v>
      </c>
    </row>
    <row r="13" customFormat="false" ht="18" hidden="false" customHeight="true" outlineLevel="0" collapsed="false">
      <c r="A13" s="12" t="s">
        <v>17</v>
      </c>
      <c r="B13" s="13"/>
      <c r="C13" s="14" t="n">
        <f aca="false">SUM(C11:C12)</f>
        <v>8680</v>
      </c>
      <c r="D13" s="14" t="n">
        <f aca="false">SUM(D11:D12)</f>
        <v>9898</v>
      </c>
      <c r="E13" s="14" t="n">
        <f aca="false">SUM(E11:E12)</f>
        <v>11584</v>
      </c>
      <c r="F13" s="14" t="n">
        <f aca="false">SUM(F11:F12)</f>
        <v>12910</v>
      </c>
      <c r="G13" s="14" t="n">
        <f aca="false">SUM(G11:G12)</f>
        <v>14185</v>
      </c>
      <c r="H13" s="14" t="n">
        <f aca="false">SUM(H11:H12)</f>
        <v>15640</v>
      </c>
    </row>
    <row r="14" customFormat="false" ht="15" hidden="false" customHeight="true" outlineLevel="0" collapsed="false">
      <c r="A14" s="15" t="s">
        <v>18</v>
      </c>
      <c r="B14" s="7"/>
      <c r="C14" s="17" t="n">
        <f aca="false">C13/C7</f>
        <v>0.5425</v>
      </c>
      <c r="D14" s="17" t="n">
        <f aca="false">D13/D7</f>
        <v>0.531578947368421</v>
      </c>
      <c r="E14" s="17" t="n">
        <f aca="false">E13/E7</f>
        <v>0.523215898825655</v>
      </c>
      <c r="F14" s="17" t="n">
        <f aca="false">F13/F7</f>
        <v>0.515987210231815</v>
      </c>
      <c r="G14" s="17" t="n">
        <f aca="false">G13/G7</f>
        <v>0.501236749116608</v>
      </c>
      <c r="H14" s="17" t="n">
        <f aca="false">H13/H7</f>
        <v>0.493531082360366</v>
      </c>
    </row>
    <row r="15" customFormat="false" ht="6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</row>
    <row r="16" customFormat="false" ht="18" hidden="false" customHeight="true" outlineLevel="0" collapsed="false">
      <c r="A16" s="12" t="s">
        <v>19</v>
      </c>
      <c r="B16" s="13"/>
      <c r="C16" s="14" t="n">
        <f aca="false">C7-C13</f>
        <v>7320</v>
      </c>
      <c r="D16" s="14" t="n">
        <f aca="false">D7-D13</f>
        <v>8722</v>
      </c>
      <c r="E16" s="14" t="n">
        <f aca="false">E7-E13</f>
        <v>10556</v>
      </c>
      <c r="F16" s="14" t="n">
        <f aca="false">F7-F13</f>
        <v>12110</v>
      </c>
      <c r="G16" s="14" t="n">
        <f aca="false">G7-G13</f>
        <v>14115</v>
      </c>
      <c r="H16" s="14" t="n">
        <f aca="false">H7-H13</f>
        <v>16050</v>
      </c>
    </row>
    <row r="17" customFormat="false" ht="15" hidden="false" customHeight="true" outlineLevel="0" collapsed="false">
      <c r="A17" s="15" t="s">
        <v>20</v>
      </c>
      <c r="B17" s="7"/>
      <c r="C17" s="17" t="n">
        <f aca="false">C16/C7</f>
        <v>0.4575</v>
      </c>
      <c r="D17" s="17" t="n">
        <f aca="false">D16/D7</f>
        <v>0.468421052631579</v>
      </c>
      <c r="E17" s="17" t="n">
        <f aca="false">E16/E7</f>
        <v>0.476784101174345</v>
      </c>
      <c r="F17" s="17" t="n">
        <f aca="false">F16/F7</f>
        <v>0.484012789768185</v>
      </c>
      <c r="G17" s="17" t="n">
        <f aca="false">G16/G7</f>
        <v>0.498763250883392</v>
      </c>
      <c r="H17" s="17" t="n">
        <f aca="false">H16/H7</f>
        <v>0.506468917639634</v>
      </c>
    </row>
    <row r="18" customFormat="false" ht="6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</row>
    <row r="19" customFormat="false" ht="18" hidden="false" customHeight="true" outlineLevel="0" collapsed="false">
      <c r="A19" s="4" t="s">
        <v>21</v>
      </c>
      <c r="B19" s="5"/>
      <c r="C19" s="5"/>
      <c r="D19" s="5"/>
      <c r="E19" s="5"/>
      <c r="F19" s="5"/>
      <c r="G19" s="5"/>
      <c r="H19" s="5"/>
    </row>
    <row r="20" customFormat="false" ht="15.75" hidden="false" customHeight="true" outlineLevel="0" collapsed="false">
      <c r="A20" s="6" t="s">
        <v>22</v>
      </c>
      <c r="B20" s="7"/>
      <c r="C20" s="8" t="n">
        <v>1860</v>
      </c>
      <c r="D20" s="8" t="n">
        <v>2130</v>
      </c>
      <c r="E20" s="8" t="n">
        <v>2520</v>
      </c>
      <c r="F20" s="8" t="n">
        <v>2850</v>
      </c>
      <c r="G20" s="8" t="n">
        <v>3225</v>
      </c>
      <c r="H20" s="8" t="n">
        <v>3600</v>
      </c>
    </row>
    <row r="21" customFormat="false" ht="15.75" hidden="false" customHeight="true" outlineLevel="0" collapsed="false">
      <c r="A21" s="9" t="s">
        <v>23</v>
      </c>
      <c r="B21" s="10"/>
      <c r="C21" s="11" t="n">
        <v>740</v>
      </c>
      <c r="D21" s="11" t="n">
        <v>852</v>
      </c>
      <c r="E21" s="11" t="n">
        <v>1008</v>
      </c>
      <c r="F21" s="11" t="n">
        <v>1140</v>
      </c>
      <c r="G21" s="11" t="n">
        <v>1290</v>
      </c>
      <c r="H21" s="11" t="n">
        <v>1440</v>
      </c>
    </row>
    <row r="22" customFormat="false" ht="15.75" hidden="false" customHeight="true" outlineLevel="0" collapsed="false">
      <c r="A22" s="6" t="s">
        <v>24</v>
      </c>
      <c r="B22" s="7"/>
      <c r="C22" s="8" t="n">
        <v>620</v>
      </c>
      <c r="D22" s="8" t="n">
        <v>710</v>
      </c>
      <c r="E22" s="8" t="n">
        <v>840</v>
      </c>
      <c r="F22" s="8" t="n">
        <v>950</v>
      </c>
      <c r="G22" s="8" t="n">
        <v>1075</v>
      </c>
      <c r="H22" s="8" t="n">
        <v>1200</v>
      </c>
    </row>
    <row r="23" customFormat="false" ht="15.75" hidden="false" customHeight="true" outlineLevel="0" collapsed="false">
      <c r="A23" s="9" t="s">
        <v>25</v>
      </c>
      <c r="B23" s="10"/>
      <c r="C23" s="11" t="n">
        <v>480</v>
      </c>
      <c r="D23" s="11" t="n">
        <v>550</v>
      </c>
      <c r="E23" s="11" t="n">
        <v>640</v>
      </c>
      <c r="F23" s="11" t="n">
        <v>700</v>
      </c>
      <c r="G23" s="11" t="n">
        <v>780</v>
      </c>
      <c r="H23" s="11" t="n">
        <v>860</v>
      </c>
    </row>
    <row r="24" customFormat="false" ht="18" hidden="false" customHeight="true" outlineLevel="0" collapsed="false">
      <c r="A24" s="12" t="s">
        <v>26</v>
      </c>
      <c r="B24" s="13"/>
      <c r="C24" s="14" t="n">
        <f aca="false">SUM(C20:C23)</f>
        <v>3700</v>
      </c>
      <c r="D24" s="14" t="n">
        <f aca="false">SUM(D20:D23)</f>
        <v>4242</v>
      </c>
      <c r="E24" s="14" t="n">
        <f aca="false">SUM(E20:E23)</f>
        <v>5008</v>
      </c>
      <c r="F24" s="14" t="n">
        <f aca="false">SUM(F20:F23)</f>
        <v>5640</v>
      </c>
      <c r="G24" s="14" t="n">
        <f aca="false">SUM(G20:G23)</f>
        <v>6370</v>
      </c>
      <c r="H24" s="14" t="n">
        <f aca="false">SUM(H20:H23)</f>
        <v>7100</v>
      </c>
    </row>
    <row r="25" customFormat="false" ht="15" hidden="false" customHeight="true" outlineLevel="0" collapsed="false">
      <c r="A25" s="15" t="s">
        <v>18</v>
      </c>
      <c r="B25" s="7"/>
      <c r="C25" s="17" t="n">
        <f aca="false">C24/C7</f>
        <v>0.23125</v>
      </c>
      <c r="D25" s="17" t="n">
        <f aca="false">D24/D7</f>
        <v>0.22781954887218</v>
      </c>
      <c r="E25" s="17" t="n">
        <f aca="false">E24/E7</f>
        <v>0.226196928635953</v>
      </c>
      <c r="F25" s="17" t="n">
        <f aca="false">F24/F7</f>
        <v>0.225419664268585</v>
      </c>
      <c r="G25" s="17" t="n">
        <f aca="false">G24/G7</f>
        <v>0.225088339222615</v>
      </c>
      <c r="H25" s="17" t="n">
        <f aca="false">H24/H7</f>
        <v>0.224045440201956</v>
      </c>
    </row>
    <row r="26" customFormat="false" ht="6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</row>
    <row r="27" customFormat="false" ht="18" hidden="false" customHeight="true" outlineLevel="0" collapsed="false">
      <c r="A27" s="12" t="s">
        <v>27</v>
      </c>
      <c r="B27" s="13"/>
      <c r="C27" s="14" t="n">
        <f aca="false">C16-(C20+C21+C22)</f>
        <v>4100</v>
      </c>
      <c r="D27" s="14" t="n">
        <f aca="false">D16-(D20+D21+D22)</f>
        <v>5030</v>
      </c>
      <c r="E27" s="14" t="n">
        <f aca="false">E16-(E20+E21+E22)</f>
        <v>6188</v>
      </c>
      <c r="F27" s="14" t="n">
        <f aca="false">F16-(F20+F21+F22)</f>
        <v>7170</v>
      </c>
      <c r="G27" s="14" t="n">
        <f aca="false">G16-(G20+G21+G22)</f>
        <v>8525</v>
      </c>
      <c r="H27" s="14" t="n">
        <f aca="false">H16-(H20+H21+H22)</f>
        <v>9810</v>
      </c>
    </row>
    <row r="28" customFormat="false" ht="15" hidden="false" customHeight="true" outlineLevel="0" collapsed="false">
      <c r="A28" s="15" t="s">
        <v>28</v>
      </c>
      <c r="B28" s="7"/>
      <c r="C28" s="17" t="n">
        <f aca="false">C27/C7</f>
        <v>0.25625</v>
      </c>
      <c r="D28" s="17" t="n">
        <f aca="false">D27/D7</f>
        <v>0.270139634801289</v>
      </c>
      <c r="E28" s="17" t="n">
        <f aca="false">E27/E7</f>
        <v>0.279494128274616</v>
      </c>
      <c r="F28" s="17" t="n">
        <f aca="false">F27/F7</f>
        <v>0.286570743405276</v>
      </c>
      <c r="G28" s="17" t="n">
        <f aca="false">G27/G7</f>
        <v>0.301236749116608</v>
      </c>
      <c r="H28" s="17" t="n">
        <f aca="false">H27/H7</f>
        <v>0.309561375828337</v>
      </c>
    </row>
    <row r="29" customFormat="false" ht="6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</row>
    <row r="30" customFormat="false" ht="18" hidden="false" customHeight="true" outlineLevel="0" collapsed="false">
      <c r="A30" s="12" t="s">
        <v>29</v>
      </c>
      <c r="B30" s="13"/>
      <c r="C30" s="14" t="n">
        <f aca="false">C27-C23</f>
        <v>3620</v>
      </c>
      <c r="D30" s="14" t="n">
        <f aca="false">D27-D23</f>
        <v>4480</v>
      </c>
      <c r="E30" s="14" t="n">
        <f aca="false">E27-E23</f>
        <v>5548</v>
      </c>
      <c r="F30" s="14" t="n">
        <f aca="false">F27-F23</f>
        <v>6470</v>
      </c>
      <c r="G30" s="14" t="n">
        <f aca="false">G27-G23</f>
        <v>7745</v>
      </c>
      <c r="H30" s="14" t="n">
        <f aca="false">H27-H23</f>
        <v>8950</v>
      </c>
    </row>
    <row r="31" customFormat="false" ht="15" hidden="false" customHeight="true" outlineLevel="0" collapsed="false">
      <c r="A31" s="15" t="s">
        <v>30</v>
      </c>
      <c r="B31" s="7"/>
      <c r="C31" s="17" t="n">
        <f aca="false">C30/C7</f>
        <v>0.22625</v>
      </c>
      <c r="D31" s="17" t="n">
        <f aca="false">D30/D7</f>
        <v>0.240601503759398</v>
      </c>
      <c r="E31" s="17" t="n">
        <f aca="false">E30/E7</f>
        <v>0.250587172538392</v>
      </c>
      <c r="F31" s="17" t="n">
        <f aca="false">F30/F7</f>
        <v>0.2585931254996</v>
      </c>
      <c r="G31" s="17" t="n">
        <f aca="false">G30/G7</f>
        <v>0.273674911660777</v>
      </c>
      <c r="H31" s="17" t="n">
        <f aca="false">H30/H7</f>
        <v>0.282423477437678</v>
      </c>
    </row>
    <row r="32" customFormat="false" ht="6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</row>
    <row r="33" customFormat="false" ht="18" hidden="false" customHeight="true" outlineLevel="0" collapsed="false">
      <c r="A33" s="4" t="s">
        <v>31</v>
      </c>
      <c r="B33" s="5"/>
      <c r="C33" s="5"/>
      <c r="D33" s="5"/>
      <c r="E33" s="5"/>
      <c r="F33" s="5"/>
      <c r="G33" s="5"/>
      <c r="H33" s="5"/>
    </row>
    <row r="34" customFormat="false" ht="15.75" hidden="false" customHeight="true" outlineLevel="0" collapsed="false">
      <c r="A34" s="6" t="s">
        <v>32</v>
      </c>
      <c r="B34" s="7"/>
      <c r="C34" s="8" t="n">
        <v>120</v>
      </c>
      <c r="D34" s="8" t="n">
        <v>145</v>
      </c>
      <c r="E34" s="8" t="n">
        <v>160</v>
      </c>
      <c r="F34" s="8" t="n">
        <v>175</v>
      </c>
      <c r="G34" s="8" t="n">
        <v>190</v>
      </c>
      <c r="H34" s="8" t="n">
        <v>210</v>
      </c>
    </row>
    <row r="35" customFormat="false" ht="15.75" hidden="false" customHeight="true" outlineLevel="0" collapsed="false">
      <c r="A35" s="9" t="s">
        <v>33</v>
      </c>
      <c r="B35" s="10"/>
      <c r="C35" s="11" t="n">
        <v>-280</v>
      </c>
      <c r="D35" s="11" t="n">
        <v>-310</v>
      </c>
      <c r="E35" s="11" t="n">
        <v>-330</v>
      </c>
      <c r="F35" s="11" t="n">
        <v>-350</v>
      </c>
      <c r="G35" s="11" t="n">
        <v>-380</v>
      </c>
      <c r="H35" s="11" t="n">
        <v>-420</v>
      </c>
    </row>
    <row r="36" customFormat="false" ht="15.75" hidden="false" customHeight="true" outlineLevel="0" collapsed="false">
      <c r="A36" s="6" t="s">
        <v>34</v>
      </c>
      <c r="B36" s="7"/>
      <c r="C36" s="8" t="n">
        <v>0</v>
      </c>
      <c r="D36" s="8" t="n">
        <v>0</v>
      </c>
      <c r="E36" s="8" t="n">
        <v>50</v>
      </c>
      <c r="F36" s="8" t="n">
        <v>0</v>
      </c>
      <c r="G36" s="8" t="n">
        <v>0</v>
      </c>
      <c r="H36" s="8" t="n">
        <v>0</v>
      </c>
    </row>
    <row r="37" customFormat="false" ht="18" hidden="false" customHeight="true" outlineLevel="0" collapsed="false">
      <c r="A37" s="12" t="s">
        <v>35</v>
      </c>
      <c r="B37" s="13"/>
      <c r="C37" s="14" t="n">
        <f aca="false">SUM(C34:C36)</f>
        <v>-160</v>
      </c>
      <c r="D37" s="14" t="n">
        <f aca="false">SUM(D34:D36)</f>
        <v>-165</v>
      </c>
      <c r="E37" s="14" t="n">
        <f aca="false">SUM(E34:E36)</f>
        <v>-120</v>
      </c>
      <c r="F37" s="14" t="n">
        <f aca="false">SUM(F34:F36)</f>
        <v>-175</v>
      </c>
      <c r="G37" s="14" t="n">
        <f aca="false">SUM(G34:G36)</f>
        <v>-190</v>
      </c>
      <c r="H37" s="14" t="n">
        <f aca="false">SUM(H34:H36)</f>
        <v>-210</v>
      </c>
    </row>
    <row r="38" customFormat="false" ht="6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</row>
    <row r="39" customFormat="false" ht="18" hidden="false" customHeight="true" outlineLevel="0" collapsed="false">
      <c r="A39" s="12" t="s">
        <v>36</v>
      </c>
      <c r="B39" s="13"/>
      <c r="C39" s="14" t="n">
        <f aca="false">C30+C37</f>
        <v>3460</v>
      </c>
      <c r="D39" s="14" t="n">
        <f aca="false">D30+D37</f>
        <v>4315</v>
      </c>
      <c r="E39" s="14" t="n">
        <f aca="false">E30+E37</f>
        <v>5428</v>
      </c>
      <c r="F39" s="14" t="n">
        <f aca="false">F30+F37</f>
        <v>6295</v>
      </c>
      <c r="G39" s="14" t="n">
        <f aca="false">G30+G37</f>
        <v>7555</v>
      </c>
      <c r="H39" s="14" t="n">
        <f aca="false">H30+H37</f>
        <v>8740</v>
      </c>
    </row>
    <row r="40" customFormat="false" ht="18" hidden="false" customHeight="true" outlineLevel="0" collapsed="false">
      <c r="A40" s="4" t="s">
        <v>37</v>
      </c>
      <c r="B40" s="5"/>
      <c r="C40" s="5"/>
      <c r="D40" s="5"/>
      <c r="E40" s="5"/>
      <c r="F40" s="5"/>
      <c r="G40" s="5"/>
      <c r="H40" s="5"/>
    </row>
    <row r="41" customFormat="false" ht="15.75" hidden="false" customHeight="true" outlineLevel="0" collapsed="false">
      <c r="A41" s="6" t="s">
        <v>38</v>
      </c>
      <c r="B41" s="7"/>
      <c r="C41" s="19" t="n">
        <v>0.25</v>
      </c>
      <c r="D41" s="19" t="n">
        <v>0.25</v>
      </c>
      <c r="E41" s="19" t="n">
        <v>0.25</v>
      </c>
      <c r="F41" s="19" t="n">
        <v>0.25</v>
      </c>
      <c r="G41" s="19" t="n">
        <v>0.25</v>
      </c>
      <c r="H41" s="19" t="n">
        <v>0.25</v>
      </c>
    </row>
    <row r="42" customFormat="false" ht="15.75" hidden="false" customHeight="true" outlineLevel="0" collapsed="false">
      <c r="A42" s="20" t="s">
        <v>39</v>
      </c>
      <c r="B42" s="10"/>
      <c r="C42" s="21" t="n">
        <f aca="false">-C39*C41</f>
        <v>-865</v>
      </c>
      <c r="D42" s="21" t="n">
        <f aca="false">-D39*D41</f>
        <v>-1078.75</v>
      </c>
      <c r="E42" s="21" t="n">
        <f aca="false">-E39*E41</f>
        <v>-1357</v>
      </c>
      <c r="F42" s="21" t="n">
        <f aca="false">-F39*F41</f>
        <v>-1573.75</v>
      </c>
      <c r="G42" s="21" t="n">
        <f aca="false">-G39*G41</f>
        <v>-1888.75</v>
      </c>
      <c r="H42" s="21" t="n">
        <f aca="false">-H39*H41</f>
        <v>-2185</v>
      </c>
    </row>
    <row r="43" customFormat="false" ht="6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</row>
    <row r="44" customFormat="false" ht="18" hidden="false" customHeight="true" outlineLevel="0" collapsed="false">
      <c r="A44" s="12" t="s">
        <v>40</v>
      </c>
      <c r="B44" s="13"/>
      <c r="C44" s="14" t="n">
        <f aca="false">C39+C42</f>
        <v>2595</v>
      </c>
      <c r="D44" s="14" t="n">
        <f aca="false">D39+D42</f>
        <v>3236.25</v>
      </c>
      <c r="E44" s="14" t="n">
        <f aca="false">E39+E42</f>
        <v>4071</v>
      </c>
      <c r="F44" s="14" t="n">
        <f aca="false">F39+F42</f>
        <v>4721.25</v>
      </c>
      <c r="G44" s="14" t="n">
        <f aca="false">G39+G42</f>
        <v>5666.25</v>
      </c>
      <c r="H44" s="14" t="n">
        <f aca="false">H39+H42</f>
        <v>6555</v>
      </c>
    </row>
    <row r="45" customFormat="false" ht="15" hidden="false" customHeight="true" outlineLevel="0" collapsed="false">
      <c r="A45" s="15" t="s">
        <v>41</v>
      </c>
      <c r="B45" s="7"/>
      <c r="C45" s="17" t="n">
        <f aca="false">C44/C7</f>
        <v>0.1621875</v>
      </c>
      <c r="D45" s="17" t="n">
        <f aca="false">D44/D7</f>
        <v>0.173805048335124</v>
      </c>
      <c r="E45" s="17" t="n">
        <f aca="false">E44/E7</f>
        <v>0.183875338753388</v>
      </c>
      <c r="F45" s="17" t="n">
        <f aca="false">F44/F7</f>
        <v>0.188699040767386</v>
      </c>
      <c r="G45" s="17" t="n">
        <f aca="false">G44/G7</f>
        <v>0.200220848056537</v>
      </c>
      <c r="H45" s="17" t="n">
        <f aca="false">H44/H7</f>
        <v>0.206847585989271</v>
      </c>
    </row>
    <row r="46" customFormat="false" ht="6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</row>
    <row r="47" customFormat="false" ht="18" hidden="false" customHeight="true" outlineLevel="0" collapsed="false">
      <c r="A47" s="4" t="s">
        <v>42</v>
      </c>
      <c r="B47" s="5"/>
      <c r="C47" s="5"/>
      <c r="D47" s="5"/>
      <c r="E47" s="5"/>
      <c r="F47" s="5"/>
      <c r="G47" s="5"/>
      <c r="H47" s="5"/>
    </row>
    <row r="48" customFormat="false" ht="15.75" hidden="false" customHeight="true" outlineLevel="0" collapsed="false">
      <c r="A48" s="6" t="s">
        <v>43</v>
      </c>
      <c r="B48" s="7"/>
      <c r="C48" s="8" t="n">
        <v>85</v>
      </c>
      <c r="D48" s="8" t="n">
        <v>98</v>
      </c>
      <c r="E48" s="8" t="n">
        <v>112</v>
      </c>
      <c r="F48" s="8" t="n">
        <v>125</v>
      </c>
      <c r="G48" s="8" t="n">
        <v>140</v>
      </c>
      <c r="H48" s="8" t="n">
        <v>155</v>
      </c>
    </row>
    <row r="49" customFormat="false" ht="15.75" hidden="false" customHeight="true" outlineLevel="0" collapsed="false">
      <c r="A49" s="20" t="s">
        <v>44</v>
      </c>
      <c r="B49" s="10"/>
      <c r="C49" s="21" t="n">
        <f aca="false">C7/C48</f>
        <v>188.235294117647</v>
      </c>
      <c r="D49" s="21" t="n">
        <f aca="false">D7/D48</f>
        <v>190</v>
      </c>
      <c r="E49" s="21" t="n">
        <f aca="false">E7/E48</f>
        <v>197.678571428571</v>
      </c>
      <c r="F49" s="21" t="n">
        <f aca="false">F7/F48</f>
        <v>200.16</v>
      </c>
      <c r="G49" s="21" t="n">
        <f aca="false">G7/G48</f>
        <v>202.142857142857</v>
      </c>
      <c r="H49" s="21" t="n">
        <f aca="false">H7/H48</f>
        <v>204.451612903226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"/>
    <col collapsed="false" customWidth="true" hidden="false" outlineLevel="0" max="8" min="3" style="0" width="13"/>
  </cols>
  <sheetData>
    <row r="1" customFormat="false" ht="31.5" hidden="false" customHeight="true" outlineLevel="0" collapsed="false">
      <c r="A1" s="22" t="s">
        <v>45</v>
      </c>
      <c r="B1" s="22"/>
      <c r="C1" s="22"/>
      <c r="D1" s="22"/>
      <c r="E1" s="22"/>
      <c r="F1" s="22"/>
      <c r="G1" s="22"/>
      <c r="H1" s="22"/>
    </row>
    <row r="2" customFormat="false" ht="21.75" hidden="false" customHeight="true" outlineLevel="0" collapsed="false">
      <c r="A2" s="23"/>
      <c r="B2" s="23"/>
      <c r="C2" s="24" t="s">
        <v>1</v>
      </c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</row>
    <row r="3" customFormat="false" ht="18" hidden="false" customHeight="true" outlineLevel="0" collapsed="false">
      <c r="A3" s="25" t="s">
        <v>46</v>
      </c>
      <c r="B3" s="26"/>
      <c r="C3" s="26"/>
      <c r="D3" s="26"/>
      <c r="E3" s="26"/>
      <c r="F3" s="26"/>
      <c r="G3" s="26"/>
      <c r="H3" s="26"/>
    </row>
    <row r="4" customFormat="false" ht="15.75" hidden="false" customHeight="true" outlineLevel="0" collapsed="false">
      <c r="A4" s="6" t="s">
        <v>47</v>
      </c>
      <c r="B4" s="7"/>
      <c r="C4" s="8" t="n">
        <v>1200</v>
      </c>
      <c r="D4" s="8" t="n">
        <v>1150</v>
      </c>
      <c r="E4" s="8" t="n">
        <v>1080</v>
      </c>
      <c r="F4" s="8" t="n">
        <v>1010</v>
      </c>
      <c r="G4" s="8" t="n">
        <v>940</v>
      </c>
      <c r="H4" s="8" t="n">
        <v>880</v>
      </c>
    </row>
    <row r="5" customFormat="false" ht="15.75" hidden="false" customHeight="true" outlineLevel="0" collapsed="false">
      <c r="A5" s="27" t="s">
        <v>48</v>
      </c>
      <c r="B5" s="28"/>
      <c r="C5" s="29" t="n">
        <v>3800</v>
      </c>
      <c r="D5" s="29" t="n">
        <v>3650</v>
      </c>
      <c r="E5" s="29" t="n">
        <v>3900</v>
      </c>
      <c r="F5" s="29" t="n">
        <v>4200</v>
      </c>
      <c r="G5" s="29" t="n">
        <v>4600</v>
      </c>
      <c r="H5" s="29" t="n">
        <v>5000</v>
      </c>
    </row>
    <row r="6" customFormat="false" ht="15.75" hidden="false" customHeight="true" outlineLevel="0" collapsed="false">
      <c r="A6" s="6" t="s">
        <v>49</v>
      </c>
      <c r="B6" s="7"/>
      <c r="C6" s="8" t="n">
        <v>400</v>
      </c>
      <c r="D6" s="8" t="n">
        <v>420</v>
      </c>
      <c r="E6" s="8" t="n">
        <v>450</v>
      </c>
      <c r="F6" s="8" t="n">
        <v>480</v>
      </c>
      <c r="G6" s="8" t="n">
        <v>510</v>
      </c>
      <c r="H6" s="8" t="n">
        <v>540</v>
      </c>
    </row>
    <row r="7" customFormat="false" ht="18" hidden="false" customHeight="true" outlineLevel="0" collapsed="false">
      <c r="A7" s="30" t="s">
        <v>50</v>
      </c>
      <c r="B7" s="31"/>
      <c r="C7" s="32" t="n">
        <f aca="false">SUM(C4:C6)</f>
        <v>5400</v>
      </c>
      <c r="D7" s="32" t="n">
        <f aca="false">SUM(D4:D6)</f>
        <v>5220</v>
      </c>
      <c r="E7" s="32" t="n">
        <f aca="false">SUM(E4:E6)</f>
        <v>5430</v>
      </c>
      <c r="F7" s="32" t="n">
        <f aca="false">SUM(F4:F6)</f>
        <v>5690</v>
      </c>
      <c r="G7" s="32" t="n">
        <f aca="false">SUM(G4:G6)</f>
        <v>6050</v>
      </c>
      <c r="H7" s="32" t="n">
        <f aca="false">SUM(H4:H6)</f>
        <v>6420</v>
      </c>
    </row>
    <row r="8" customFormat="false" ht="6" hidden="false" customHeight="true" outlineLevel="0" collapsed="false">
      <c r="A8" s="18"/>
      <c r="B8" s="18"/>
      <c r="C8" s="18"/>
      <c r="D8" s="18"/>
      <c r="E8" s="18"/>
      <c r="F8" s="18"/>
      <c r="G8" s="18"/>
      <c r="H8" s="18"/>
    </row>
    <row r="9" customFormat="false" ht="18" hidden="false" customHeight="true" outlineLevel="0" collapsed="false">
      <c r="A9" s="25" t="s">
        <v>51</v>
      </c>
      <c r="B9" s="26"/>
      <c r="C9" s="26"/>
      <c r="D9" s="26"/>
      <c r="E9" s="26"/>
      <c r="F9" s="26"/>
      <c r="G9" s="26"/>
      <c r="H9" s="26"/>
    </row>
    <row r="10" customFormat="false" ht="15.75" hidden="false" customHeight="true" outlineLevel="0" collapsed="false">
      <c r="A10" s="6" t="s">
        <v>52</v>
      </c>
      <c r="B10" s="7"/>
      <c r="C10" s="8" t="n">
        <v>1800</v>
      </c>
      <c r="D10" s="8" t="n">
        <v>2100</v>
      </c>
      <c r="E10" s="8" t="n">
        <v>2450</v>
      </c>
      <c r="F10" s="8" t="n">
        <v>2720</v>
      </c>
      <c r="G10" s="8" t="n">
        <v>3060</v>
      </c>
      <c r="H10" s="8" t="n">
        <v>3400</v>
      </c>
    </row>
    <row r="11" customFormat="false" ht="15.75" hidden="false" customHeight="true" outlineLevel="0" collapsed="false">
      <c r="A11" s="27" t="s">
        <v>53</v>
      </c>
      <c r="B11" s="28"/>
      <c r="C11" s="29" t="n">
        <v>2600</v>
      </c>
      <c r="D11" s="29" t="n">
        <v>2980</v>
      </c>
      <c r="E11" s="29" t="n">
        <v>3520</v>
      </c>
      <c r="F11" s="29" t="n">
        <v>3980</v>
      </c>
      <c r="G11" s="29" t="n">
        <v>4500</v>
      </c>
      <c r="H11" s="29" t="n">
        <v>5040</v>
      </c>
    </row>
    <row r="12" customFormat="false" ht="15.75" hidden="false" customHeight="true" outlineLevel="0" collapsed="false">
      <c r="A12" s="6" t="s">
        <v>54</v>
      </c>
      <c r="B12" s="7"/>
      <c r="C12" s="8" t="n">
        <v>320</v>
      </c>
      <c r="D12" s="8" t="n">
        <v>380</v>
      </c>
      <c r="E12" s="8" t="n">
        <v>450</v>
      </c>
      <c r="F12" s="8" t="n">
        <v>510</v>
      </c>
      <c r="G12" s="8" t="n">
        <v>580</v>
      </c>
      <c r="H12" s="8" t="n">
        <v>650</v>
      </c>
    </row>
    <row r="13" customFormat="false" ht="15.75" hidden="false" customHeight="true" outlineLevel="0" collapsed="false">
      <c r="A13" s="27" t="s">
        <v>55</v>
      </c>
      <c r="B13" s="28"/>
      <c r="C13" s="29" t="n">
        <v>1850</v>
      </c>
      <c r="D13" s="29" t="n">
        <v>2200</v>
      </c>
      <c r="E13" s="29" t="n">
        <v>2650</v>
      </c>
      <c r="F13" s="29" t="n">
        <v>3100</v>
      </c>
      <c r="G13" s="29" t="n">
        <v>3650</v>
      </c>
      <c r="H13" s="29" t="n">
        <v>4280</v>
      </c>
    </row>
    <row r="14" customFormat="false" ht="18" hidden="false" customHeight="true" outlineLevel="0" collapsed="false">
      <c r="A14" s="30" t="s">
        <v>56</v>
      </c>
      <c r="B14" s="31"/>
      <c r="C14" s="32" t="n">
        <f aca="false">SUM(C10:C13)</f>
        <v>6570</v>
      </c>
      <c r="D14" s="32" t="n">
        <f aca="false">SUM(D10:D13)</f>
        <v>7660</v>
      </c>
      <c r="E14" s="32" t="n">
        <f aca="false">SUM(E10:E13)</f>
        <v>9070</v>
      </c>
      <c r="F14" s="32" t="n">
        <f aca="false">SUM(F10:F13)</f>
        <v>10310</v>
      </c>
      <c r="G14" s="32" t="n">
        <f aca="false">SUM(G10:G13)</f>
        <v>11790</v>
      </c>
      <c r="H14" s="32" t="n">
        <f aca="false">SUM(H10:H13)</f>
        <v>13370</v>
      </c>
    </row>
    <row r="15" customFormat="false" ht="6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</row>
    <row r="16" customFormat="false" ht="19.5" hidden="false" customHeight="true" outlineLevel="0" collapsed="false">
      <c r="A16" s="33" t="s">
        <v>57</v>
      </c>
      <c r="B16" s="34"/>
      <c r="C16" s="35" t="n">
        <f aca="false">C7+C14</f>
        <v>11970</v>
      </c>
      <c r="D16" s="35" t="n">
        <f aca="false">D7+D14</f>
        <v>12880</v>
      </c>
      <c r="E16" s="35" t="n">
        <f aca="false">E7+E14</f>
        <v>14500</v>
      </c>
      <c r="F16" s="35" t="n">
        <f aca="false">F7+F14</f>
        <v>16000</v>
      </c>
      <c r="G16" s="35" t="n">
        <f aca="false">G7+G14</f>
        <v>17840</v>
      </c>
      <c r="H16" s="35" t="n">
        <f aca="false">H7+H14</f>
        <v>19790</v>
      </c>
    </row>
    <row r="17" customFormat="false" ht="6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</row>
    <row r="18" customFormat="false" ht="18" hidden="false" customHeight="true" outlineLevel="0" collapsed="false">
      <c r="A18" s="25" t="s">
        <v>58</v>
      </c>
      <c r="B18" s="26"/>
      <c r="C18" s="26"/>
      <c r="D18" s="26"/>
      <c r="E18" s="26"/>
      <c r="F18" s="26"/>
      <c r="G18" s="26"/>
      <c r="H18" s="26"/>
    </row>
    <row r="19" customFormat="false" ht="15.75" hidden="false" customHeight="true" outlineLevel="0" collapsed="false">
      <c r="A19" s="6" t="s">
        <v>59</v>
      </c>
      <c r="B19" s="7"/>
      <c r="C19" s="8" t="n">
        <v>2000</v>
      </c>
      <c r="D19" s="8" t="n">
        <v>2000</v>
      </c>
      <c r="E19" s="8" t="n">
        <v>2000</v>
      </c>
      <c r="F19" s="8" t="n">
        <v>2000</v>
      </c>
      <c r="G19" s="8" t="n">
        <v>2000</v>
      </c>
      <c r="H19" s="8" t="n">
        <v>2000</v>
      </c>
    </row>
    <row r="20" customFormat="false" ht="15.75" hidden="false" customHeight="true" outlineLevel="0" collapsed="false">
      <c r="A20" s="27" t="s">
        <v>60</v>
      </c>
      <c r="B20" s="28"/>
      <c r="C20" s="29" t="n">
        <v>1800</v>
      </c>
      <c r="D20" s="29" t="n">
        <v>2300</v>
      </c>
      <c r="E20" s="29" t="n">
        <v>2900</v>
      </c>
      <c r="F20" s="29" t="n">
        <v>3550</v>
      </c>
      <c r="G20" s="29" t="n">
        <v>4290</v>
      </c>
      <c r="H20" s="29" t="n">
        <v>5100</v>
      </c>
    </row>
    <row r="21" customFormat="false" ht="15.75" hidden="false" customHeight="true" outlineLevel="0" collapsed="false">
      <c r="A21" s="36" t="s">
        <v>61</v>
      </c>
      <c r="B21" s="7"/>
      <c r="C21" s="37" t="n">
        <f aca="false">'Compte de Résultat'!C44</f>
        <v>2595</v>
      </c>
      <c r="D21" s="37" t="n">
        <f aca="false">'Compte de Résultat'!D44</f>
        <v>3236.25</v>
      </c>
      <c r="E21" s="37" t="n">
        <f aca="false">'Compte de Résultat'!E44</f>
        <v>4071</v>
      </c>
      <c r="F21" s="37" t="n">
        <f aca="false">'Compte de Résultat'!F44</f>
        <v>4721.25</v>
      </c>
      <c r="G21" s="37" t="n">
        <f aca="false">'Compte de Résultat'!G44</f>
        <v>5666.25</v>
      </c>
      <c r="H21" s="37" t="n">
        <f aca="false">'Compte de Résultat'!H44</f>
        <v>6555</v>
      </c>
    </row>
    <row r="22" customFormat="false" ht="18" hidden="false" customHeight="true" outlineLevel="0" collapsed="false">
      <c r="A22" s="30" t="s">
        <v>62</v>
      </c>
      <c r="B22" s="31"/>
      <c r="C22" s="32" t="n">
        <f aca="false">SUM(C19:C21)</f>
        <v>6395</v>
      </c>
      <c r="D22" s="32" t="n">
        <f aca="false">SUM(D19:D21)</f>
        <v>7536.25</v>
      </c>
      <c r="E22" s="32" t="n">
        <f aca="false">SUM(E19:E21)</f>
        <v>8971</v>
      </c>
      <c r="F22" s="32" t="n">
        <f aca="false">SUM(F19:F21)</f>
        <v>10271.25</v>
      </c>
      <c r="G22" s="32" t="n">
        <f aca="false">SUM(G19:G21)</f>
        <v>11956.25</v>
      </c>
      <c r="H22" s="32" t="n">
        <f aca="false">SUM(H19:H21)</f>
        <v>13655</v>
      </c>
    </row>
    <row r="23" customFormat="false" ht="6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</row>
    <row r="24" customFormat="false" ht="18" hidden="false" customHeight="true" outlineLevel="0" collapsed="false">
      <c r="A24" s="25" t="s">
        <v>63</v>
      </c>
      <c r="B24" s="26"/>
      <c r="C24" s="26"/>
      <c r="D24" s="26"/>
      <c r="E24" s="26"/>
      <c r="F24" s="26"/>
      <c r="G24" s="26"/>
      <c r="H24" s="26"/>
    </row>
    <row r="25" customFormat="false" ht="15.75" hidden="false" customHeight="true" outlineLevel="0" collapsed="false">
      <c r="A25" s="6" t="s">
        <v>64</v>
      </c>
      <c r="B25" s="7"/>
      <c r="C25" s="8" t="n">
        <v>2500</v>
      </c>
      <c r="D25" s="8" t="n">
        <v>2300</v>
      </c>
      <c r="E25" s="8" t="n">
        <v>2800</v>
      </c>
      <c r="F25" s="8" t="n">
        <v>3100</v>
      </c>
      <c r="G25" s="8" t="n">
        <v>3400</v>
      </c>
      <c r="H25" s="8" t="n">
        <v>3700</v>
      </c>
    </row>
    <row r="26" customFormat="false" ht="15.75" hidden="false" customHeight="true" outlineLevel="0" collapsed="false">
      <c r="A26" s="27" t="s">
        <v>65</v>
      </c>
      <c r="B26" s="28"/>
      <c r="C26" s="29" t="n">
        <v>1200</v>
      </c>
      <c r="D26" s="29" t="n">
        <v>1050</v>
      </c>
      <c r="E26" s="29" t="n">
        <v>900</v>
      </c>
      <c r="F26" s="29" t="n">
        <v>750</v>
      </c>
      <c r="G26" s="29" t="n">
        <v>600</v>
      </c>
      <c r="H26" s="29" t="n">
        <v>450</v>
      </c>
    </row>
    <row r="27" customFormat="false" ht="18" hidden="false" customHeight="true" outlineLevel="0" collapsed="false">
      <c r="A27" s="30" t="s">
        <v>66</v>
      </c>
      <c r="B27" s="31"/>
      <c r="C27" s="32" t="n">
        <f aca="false">SUM(C25:C26)</f>
        <v>3700</v>
      </c>
      <c r="D27" s="32" t="n">
        <f aca="false">SUM(D25:D26)</f>
        <v>3350</v>
      </c>
      <c r="E27" s="32" t="n">
        <f aca="false">SUM(E25:E26)</f>
        <v>3700</v>
      </c>
      <c r="F27" s="32" t="n">
        <f aca="false">SUM(F25:F26)</f>
        <v>3850</v>
      </c>
      <c r="G27" s="32" t="n">
        <f aca="false">SUM(G25:G26)</f>
        <v>4000</v>
      </c>
      <c r="H27" s="32" t="n">
        <f aca="false">SUM(H25:H26)</f>
        <v>4150</v>
      </c>
    </row>
    <row r="28" customFormat="false" ht="6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</row>
    <row r="29" customFormat="false" ht="18" hidden="false" customHeight="true" outlineLevel="0" collapsed="false">
      <c r="A29" s="25" t="s">
        <v>67</v>
      </c>
      <c r="B29" s="26"/>
      <c r="C29" s="26"/>
      <c r="D29" s="26"/>
      <c r="E29" s="26"/>
      <c r="F29" s="26"/>
      <c r="G29" s="26"/>
      <c r="H29" s="26"/>
    </row>
    <row r="30" customFormat="false" ht="15.75" hidden="false" customHeight="true" outlineLevel="0" collapsed="false">
      <c r="A30" s="6" t="s">
        <v>68</v>
      </c>
      <c r="B30" s="7"/>
      <c r="C30" s="8" t="n">
        <v>1850</v>
      </c>
      <c r="D30" s="8" t="n">
        <v>2050</v>
      </c>
      <c r="E30" s="8" t="n">
        <v>2400</v>
      </c>
      <c r="F30" s="8" t="n">
        <v>2700</v>
      </c>
      <c r="G30" s="8" t="n">
        <v>3050</v>
      </c>
      <c r="H30" s="8" t="n">
        <v>3400</v>
      </c>
    </row>
    <row r="31" customFormat="false" ht="15.75" hidden="false" customHeight="true" outlineLevel="0" collapsed="false">
      <c r="A31" s="27" t="s">
        <v>69</v>
      </c>
      <c r="B31" s="28"/>
      <c r="C31" s="29" t="n">
        <v>620</v>
      </c>
      <c r="D31" s="29" t="n">
        <v>710</v>
      </c>
      <c r="E31" s="29" t="n">
        <v>840</v>
      </c>
      <c r="F31" s="29" t="n">
        <v>950</v>
      </c>
      <c r="G31" s="29" t="n">
        <v>1075</v>
      </c>
      <c r="H31" s="29" t="n">
        <v>1200</v>
      </c>
    </row>
    <row r="32" customFormat="false" ht="15.75" hidden="false" customHeight="true" outlineLevel="0" collapsed="false">
      <c r="A32" s="6" t="s">
        <v>70</v>
      </c>
      <c r="B32" s="7"/>
      <c r="C32" s="8" t="n">
        <v>400</v>
      </c>
      <c r="D32" s="8" t="n">
        <v>450</v>
      </c>
      <c r="E32" s="8" t="n">
        <v>510</v>
      </c>
      <c r="F32" s="8" t="n">
        <v>580</v>
      </c>
      <c r="G32" s="8" t="n">
        <v>655</v>
      </c>
      <c r="H32" s="8" t="n">
        <v>730</v>
      </c>
    </row>
    <row r="33" customFormat="false" ht="18" hidden="false" customHeight="true" outlineLevel="0" collapsed="false">
      <c r="A33" s="30" t="s">
        <v>71</v>
      </c>
      <c r="B33" s="31"/>
      <c r="C33" s="32" t="n">
        <f aca="false">SUM(C30:C32)</f>
        <v>2870</v>
      </c>
      <c r="D33" s="32" t="n">
        <f aca="false">SUM(D30:D32)</f>
        <v>3210</v>
      </c>
      <c r="E33" s="32" t="n">
        <f aca="false">SUM(E30:E32)</f>
        <v>3750</v>
      </c>
      <c r="F33" s="32" t="n">
        <f aca="false">SUM(F30:F32)</f>
        <v>4230</v>
      </c>
      <c r="G33" s="32" t="n">
        <f aca="false">SUM(G30:G32)</f>
        <v>4780</v>
      </c>
      <c r="H33" s="32" t="n">
        <f aca="false">SUM(H30:H32)</f>
        <v>5330</v>
      </c>
    </row>
    <row r="34" customFormat="false" ht="6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</row>
    <row r="35" customFormat="false" ht="19.5" hidden="false" customHeight="true" outlineLevel="0" collapsed="false">
      <c r="A35" s="33" t="s">
        <v>72</v>
      </c>
      <c r="B35" s="34"/>
      <c r="C35" s="35" t="n">
        <f aca="false">C22+C27+C33</f>
        <v>12965</v>
      </c>
      <c r="D35" s="35" t="n">
        <f aca="false">D22+D27+D33</f>
        <v>14096.25</v>
      </c>
      <c r="E35" s="35" t="n">
        <f aca="false">E22+E27+E33</f>
        <v>16421</v>
      </c>
      <c r="F35" s="35" t="n">
        <f aca="false">F22+F27+F33</f>
        <v>18351.25</v>
      </c>
      <c r="G35" s="35" t="n">
        <f aca="false">G22+G27+G33</f>
        <v>20736.25</v>
      </c>
      <c r="H35" s="35" t="n">
        <f aca="false">H22+H27+H33</f>
        <v>23135</v>
      </c>
    </row>
    <row r="36" customFormat="false" ht="6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</row>
    <row r="37" customFormat="false" ht="18" hidden="false" customHeight="true" outlineLevel="0" collapsed="false">
      <c r="A37" s="25" t="s">
        <v>73</v>
      </c>
      <c r="B37" s="26"/>
      <c r="C37" s="26"/>
      <c r="D37" s="26"/>
      <c r="E37" s="26"/>
      <c r="F37" s="26"/>
      <c r="G37" s="26"/>
      <c r="H37" s="26"/>
    </row>
    <row r="38" customFormat="false" ht="15.75" hidden="false" customHeight="true" outlineLevel="0" collapsed="false">
      <c r="A38" s="36" t="s">
        <v>74</v>
      </c>
      <c r="B38" s="7"/>
      <c r="C38" s="37" t="n">
        <f aca="false">C16-C35</f>
        <v>-995</v>
      </c>
      <c r="D38" s="37" t="n">
        <f aca="false">D16-D35</f>
        <v>-1216.25</v>
      </c>
      <c r="E38" s="37" t="n">
        <f aca="false">E16-E35</f>
        <v>-1921</v>
      </c>
      <c r="F38" s="37" t="n">
        <f aca="false">F16-F35</f>
        <v>-2351.25</v>
      </c>
      <c r="G38" s="37" t="n">
        <f aca="false">G16-G35</f>
        <v>-2896.25</v>
      </c>
      <c r="H38" s="37" t="n">
        <f aca="false">H16-H35</f>
        <v>-3345</v>
      </c>
    </row>
    <row r="39" customFormat="false" ht="6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</row>
    <row r="40" customFormat="false" ht="18" hidden="false" customHeight="true" outlineLevel="0" collapsed="false">
      <c r="A40" s="25" t="s">
        <v>75</v>
      </c>
      <c r="B40" s="26"/>
      <c r="C40" s="26"/>
      <c r="D40" s="26"/>
      <c r="E40" s="26"/>
      <c r="F40" s="26"/>
      <c r="G40" s="26"/>
      <c r="H40" s="26"/>
    </row>
    <row r="41" customFormat="false" ht="15.75" hidden="false" customHeight="true" outlineLevel="0" collapsed="false">
      <c r="A41" s="36" t="s">
        <v>76</v>
      </c>
      <c r="B41" s="7"/>
      <c r="C41" s="37" t="n">
        <f aca="false">C25+C26-C13</f>
        <v>1850</v>
      </c>
      <c r="D41" s="37" t="n">
        <f aca="false">D25+D26-D13</f>
        <v>1150</v>
      </c>
      <c r="E41" s="37" t="n">
        <f aca="false">E25+E26-E13</f>
        <v>1050</v>
      </c>
      <c r="F41" s="37" t="n">
        <f aca="false">F25+F26-F13</f>
        <v>750</v>
      </c>
      <c r="G41" s="37" t="n">
        <f aca="false">G25+G26-G13</f>
        <v>350</v>
      </c>
      <c r="H41" s="37" t="n">
        <f aca="false">H25+H26-H13</f>
        <v>-130</v>
      </c>
    </row>
    <row r="42" customFormat="false" ht="15.75" hidden="false" customHeight="true" outlineLevel="0" collapsed="false">
      <c r="A42" s="38" t="s">
        <v>77</v>
      </c>
      <c r="B42" s="28"/>
      <c r="C42" s="39" t="n">
        <f aca="false">C41/C22</f>
        <v>0.289288506645817</v>
      </c>
      <c r="D42" s="39" t="n">
        <f aca="false">D41/D22</f>
        <v>0.152595787029358</v>
      </c>
      <c r="E42" s="39" t="n">
        <f aca="false">E41/E22</f>
        <v>0.117043807825215</v>
      </c>
      <c r="F42" s="39" t="n">
        <f aca="false">F41/F22</f>
        <v>0.0730193501277839</v>
      </c>
      <c r="G42" s="39" t="n">
        <f aca="false">G41/G22</f>
        <v>0.029273392577104</v>
      </c>
      <c r="H42" s="39" t="n">
        <f aca="false">H41/H22</f>
        <v>-0.00952032222629074</v>
      </c>
    </row>
    <row r="43" customFormat="false" ht="15.75" hidden="false" customHeight="true" outlineLevel="0" collapsed="false">
      <c r="A43" s="36" t="s">
        <v>78</v>
      </c>
      <c r="B43" s="7"/>
      <c r="C43" s="37" t="n">
        <f aca="false">C10+C11-C30</f>
        <v>2550</v>
      </c>
      <c r="D43" s="37" t="n">
        <f aca="false">D10+D11-D30</f>
        <v>3030</v>
      </c>
      <c r="E43" s="37" t="n">
        <f aca="false">E10+E11-E30</f>
        <v>3570</v>
      </c>
      <c r="F43" s="37" t="n">
        <f aca="false">F10+F11-F30</f>
        <v>4000</v>
      </c>
      <c r="G43" s="37" t="n">
        <f aca="false">G10+G11-G30</f>
        <v>4510</v>
      </c>
      <c r="H43" s="37" t="n">
        <f aca="false">H10+H11-H30</f>
        <v>5040</v>
      </c>
    </row>
    <row r="44" customFormat="false" ht="15.75" hidden="false" customHeight="true" outlineLevel="0" collapsed="false">
      <c r="A44" s="38" t="s">
        <v>79</v>
      </c>
      <c r="B44" s="28"/>
      <c r="C44" s="40" t="n">
        <f aca="false">C14/C33</f>
        <v>2.28919860627178</v>
      </c>
      <c r="D44" s="40" t="n">
        <f aca="false">D14/D33</f>
        <v>2.38629283489097</v>
      </c>
      <c r="E44" s="40" t="n">
        <f aca="false">E14/E33</f>
        <v>2.41866666666667</v>
      </c>
      <c r="F44" s="40" t="n">
        <f aca="false">F14/F33</f>
        <v>2.43735224586288</v>
      </c>
      <c r="G44" s="40" t="n">
        <f aca="false">G14/G33</f>
        <v>2.46652719665272</v>
      </c>
      <c r="H44" s="40" t="n">
        <f aca="false">H14/H33</f>
        <v>2.50844277673546</v>
      </c>
    </row>
    <row r="45" customFormat="false" ht="15.75" hidden="false" customHeight="true" outlineLevel="0" collapsed="false">
      <c r="A45" s="36" t="s">
        <v>80</v>
      </c>
      <c r="B45" s="7"/>
      <c r="C45" s="41" t="n">
        <f aca="false">C22/C16</f>
        <v>0.534252297410192</v>
      </c>
      <c r="D45" s="41" t="n">
        <f aca="false">D22/D16</f>
        <v>0.585112577639752</v>
      </c>
      <c r="E45" s="41" t="n">
        <f aca="false">E22/E16</f>
        <v>0.618689655172414</v>
      </c>
      <c r="F45" s="41" t="n">
        <f aca="false">F22/F16</f>
        <v>0.641953125</v>
      </c>
      <c r="G45" s="41" t="n">
        <f aca="false">G22/G16</f>
        <v>0.670193385650224</v>
      </c>
      <c r="H45" s="41" t="n">
        <f aca="false">H22/H16</f>
        <v>0.6899949469429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2026-06-24T14:15:31Z</dcterms:created>
  <dc:creator>openpyxl</dc:creator>
  <dc:description/>
  <dc:language>en-US</dc:language>
  <cp:lastModifiedBy/>
  <dcterms:modified xsi:type="dcterms:W3CDTF">2026-06-24T14:15:31Z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